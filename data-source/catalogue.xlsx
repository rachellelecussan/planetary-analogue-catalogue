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to use" sheetId="1" state="visible" r:id="rId1"/>
    <sheet xmlns:r="http://schemas.openxmlformats.org/officeDocument/2006/relationships" name="Site view" sheetId="2" state="visible" r:id="rId2"/>
    <sheet xmlns:r="http://schemas.openxmlformats.org/officeDocument/2006/relationships" name="Sites" sheetId="3" state="visible" r:id="rId3"/>
    <sheet xmlns:r="http://schemas.openxmlformats.org/officeDocument/2006/relationships" name="References" sheetId="4" state="visible" r:id="rId4"/>
    <sheet xmlns:r="http://schemas.openxmlformats.org/officeDocument/2006/relationships" name="Photos" sheetId="5" state="visible" r:id="rId5"/>
    <sheet xmlns:r="http://schemas.openxmlformats.org/officeDocument/2006/relationships" name="Comparisons" sheetId="6" state="visible" r:id="rId6"/>
    <sheet xmlns:r="http://schemas.openxmlformats.org/officeDocument/2006/relationships" name="Research log" sheetId="7" state="visible" r:id="rId7"/>
    <sheet xmlns:r="http://schemas.openxmlformats.org/officeDocument/2006/relationships" name="Rating scales" sheetId="8" state="visible" r:id="rId8"/>
    <sheet xmlns:r="http://schemas.openxmlformats.org/officeDocument/2006/relationships" name="Vocabularies" sheetId="9" state="visible" r:id="rId9"/>
  </sheets>
  <definedNames>
    <definedName name="_xlnm._FilterDatabase" localSheetId="2" hidden="1">'Sites'!$A$2:$BB$503</definedName>
    <definedName name="_xlnm._FilterDatabase" localSheetId="6" hidden="1">'Research log'!$A$3:$D$155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color rgb="FF4A5868"/>
      <sz val="10"/>
    </font>
    <font>
      <name val="Arial"/>
      <charset val="1"/>
      <family val="0"/>
      <b val="1"/>
      <sz val="12"/>
    </font>
    <font>
      <name val="Arial"/>
      <charset val="1"/>
      <family val="0"/>
      <sz val="10"/>
    </font>
    <font>
      <name val="Arial"/>
      <charset val="1"/>
      <family val="0"/>
      <b val="1"/>
      <sz val="10"/>
    </font>
    <font>
      <name val="Arial"/>
      <charset val="1"/>
      <family val="0"/>
      <color rgb="FF9A3A16"/>
      <sz val="10"/>
      <u val="single"/>
    </font>
    <font>
      <name val="Arial"/>
      <charset val="1"/>
      <family val="0"/>
      <i val="1"/>
      <color rgb="FF4A5868"/>
      <sz val="10"/>
    </font>
    <font>
      <name val="Arial"/>
      <charset val="1"/>
      <family val="0"/>
      <b val="1"/>
      <color rgb="FFFFFFFF"/>
      <sz val="10"/>
    </font>
    <font>
      <name val="Arial"/>
      <charset val="1"/>
      <family val="0"/>
      <b val="1"/>
      <color rgb="FFB42318"/>
      <sz val="10"/>
    </font>
    <font>
      <name val="Arial"/>
      <charset val="1"/>
      <family val="0"/>
      <color rgb="FF8A96A3"/>
      <sz val="10"/>
    </font>
    <font>
      <name val="Arial"/>
      <charset val="1"/>
      <family val="0"/>
      <b val="1"/>
      <color rgb="FF0F1B2D"/>
      <sz val="10"/>
    </font>
    <font>
      <name val="Arial"/>
      <charset val="1"/>
      <family val="0"/>
      <i val="1"/>
      <color rgb="FF4A5868"/>
      <sz val="9"/>
    </font>
    <font>
      <name val="Arial"/>
      <charset val="1"/>
      <family val="0"/>
      <color rgb="FF33414F"/>
      <sz val="10"/>
    </font>
    <font>
      <name val="Arial"/>
      <charset val="1"/>
      <family val="0"/>
      <b val="1"/>
      <sz val="14"/>
    </font>
    <font>
      <name val="Arial"/>
      <b val="1"/>
      <color rgb="000F1B2D"/>
      <sz val="10"/>
    </font>
    <font>
      <name val="Arial"/>
      <b val="1"/>
      <color rgb="00FFFFFF"/>
      <sz val="10"/>
    </font>
    <font>
      <name val="Arial"/>
      <sz val="10"/>
    </font>
  </fonts>
  <fills count="15">
    <fill>
      <patternFill/>
    </fill>
    <fill>
      <patternFill patternType="gray125"/>
    </fill>
    <fill>
      <patternFill patternType="solid">
        <fgColor rgb="FFFFF8E6"/>
        <bgColor rgb="FFFFFFFF"/>
      </patternFill>
    </fill>
    <fill>
      <patternFill patternType="solid">
        <fgColor rgb="FF0F1B2D"/>
        <bgColor rgb="FF000000"/>
      </patternFill>
    </fill>
    <fill>
      <patternFill patternType="solid">
        <fgColor rgb="FFDCE4EA"/>
        <bgColor rgb="FFE3E0EF"/>
      </patternFill>
    </fill>
    <fill>
      <patternFill patternType="solid">
        <fgColor rgb="FFF3E2D9"/>
        <bgColor rgb="FFF6E1DF"/>
      </patternFill>
    </fill>
    <fill>
      <patternFill patternType="solid">
        <fgColor rgb="FFE8E3D3"/>
        <bgColor rgb="FFF3E2D9"/>
      </patternFill>
    </fill>
    <fill>
      <patternFill patternType="solid">
        <fgColor rgb="FFDDEBE0"/>
        <bgColor rgb="FFDCE4EA"/>
      </patternFill>
    </fill>
    <fill>
      <patternFill patternType="solid">
        <fgColor rgb="FFE3E0EF"/>
        <bgColor rgb="FFDCE4EA"/>
      </patternFill>
    </fill>
    <fill>
      <patternFill patternType="solid">
        <fgColor rgb="FFF6E1DF"/>
        <bgColor rgb="FFF3E2D9"/>
      </patternFill>
    </fill>
    <fill>
      <patternFill patternType="solid">
        <fgColor rgb="FFE6E9EC"/>
        <bgColor rgb="FFDDEBE0"/>
      </patternFill>
    </fill>
    <fill>
      <patternFill patternType="solid">
        <fgColor rgb="FFD5DBE1"/>
        <bgColor rgb="FFDCE4EA"/>
      </patternFill>
    </fill>
    <fill>
      <patternFill patternType="solid">
        <fgColor rgb="FFEEF1F4"/>
        <bgColor rgb="FFE6E9EC"/>
      </patternFill>
    </fill>
    <fill>
      <patternFill patternType="solid">
        <fgColor rgb="00E6E9EC"/>
        <bgColor rgb="00E6E9EC"/>
      </patternFill>
    </fill>
    <fill>
      <patternFill patternType="solid">
        <fgColor rgb="000F1B2D"/>
        <bgColor rgb="000F1B2D"/>
      </patternFill>
    </fill>
  </fills>
  <borders count="3">
    <border>
      <left/>
      <right/>
      <top/>
      <bottom/>
      <diagonal/>
    </border>
    <border>
      <left style="thin">
        <color rgb="FFD5DBE1"/>
      </left>
      <right style="thin">
        <color rgb="FFD5DBE1"/>
      </right>
      <top style="thin">
        <color rgb="FFD5DBE1"/>
      </top>
      <bottom style="thin">
        <color rgb="FFD5DBE1"/>
      </bottom>
      <diagonal/>
    </border>
    <border>
      <left style="thin">
        <color rgb="00D5DBE1"/>
      </left>
      <right style="thin">
        <color rgb="00D5DBE1"/>
      </right>
      <top style="thin">
        <color rgb="00D5DBE1"/>
      </top>
      <bottom style="thin">
        <color rgb="00D5DBE1"/>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left" vertical="bottom"/>
    </xf>
    <xf numFmtId="0" fontId="8"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1"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bottom"/>
    </xf>
    <xf numFmtId="0" fontId="8" fillId="4" borderId="0" applyAlignment="1" pivotButton="0" quotePrefix="0" xfId="0">
      <alignment horizontal="general" vertical="bottom"/>
    </xf>
    <xf numFmtId="0" fontId="0" fillId="4" borderId="0" applyAlignment="1" pivotButton="0" quotePrefix="0" xfId="0">
      <alignment horizontal="general" vertical="bottom"/>
    </xf>
    <xf numFmtId="0" fontId="8" fillId="0" borderId="1" applyAlignment="1" pivotButton="0" quotePrefix="0" xfId="0">
      <alignment horizontal="general" vertical="top"/>
    </xf>
    <xf numFmtId="0" fontId="7" fillId="0" borderId="1" applyAlignment="1" pivotButton="0" quotePrefix="0" xfId="0">
      <alignment horizontal="left" vertical="top" wrapText="1"/>
    </xf>
    <xf numFmtId="0" fontId="12" fillId="0" borderId="1" applyAlignment="1" pivotButton="0" quotePrefix="0" xfId="0">
      <alignment horizontal="general" vertical="top"/>
    </xf>
    <xf numFmtId="0" fontId="9" fillId="0" borderId="1" applyAlignment="1" pivotButton="0" quotePrefix="0" xfId="0">
      <alignment horizontal="general" vertical="top"/>
    </xf>
    <xf numFmtId="0" fontId="7" fillId="0" borderId="1" applyAlignment="1" pivotButton="0" quotePrefix="0" xfId="0">
      <alignment horizontal="general" vertical="top"/>
    </xf>
    <xf numFmtId="0" fontId="13" fillId="0" borderId="1" applyAlignment="1" pivotButton="0" quotePrefix="0" xfId="0">
      <alignment horizontal="general" vertical="top"/>
    </xf>
    <xf numFmtId="0" fontId="8" fillId="5" borderId="0" applyAlignment="1" pivotButton="0" quotePrefix="0" xfId="0">
      <alignment horizontal="general" vertical="bottom"/>
    </xf>
    <xf numFmtId="0" fontId="0" fillId="5" borderId="0" applyAlignment="1" pivotButton="0" quotePrefix="0" xfId="0">
      <alignment horizontal="general" vertical="bottom"/>
    </xf>
    <xf numFmtId="0" fontId="8" fillId="6" borderId="0" applyAlignment="1" pivotButton="0" quotePrefix="0" xfId="0">
      <alignment horizontal="general" vertical="bottom"/>
    </xf>
    <xf numFmtId="0" fontId="0" fillId="6" borderId="0" applyAlignment="1" pivotButton="0" quotePrefix="0" xfId="0">
      <alignment horizontal="general" vertical="bottom"/>
    </xf>
    <xf numFmtId="0" fontId="8" fillId="7" borderId="0" applyAlignment="1" pivotButton="0" quotePrefix="0" xfId="0">
      <alignment horizontal="general" vertical="bottom"/>
    </xf>
    <xf numFmtId="0" fontId="0" fillId="7" borderId="0" applyAlignment="1" pivotButton="0" quotePrefix="0" xfId="0">
      <alignment horizontal="general" vertical="bottom"/>
    </xf>
    <xf numFmtId="0" fontId="8" fillId="8" borderId="0" applyAlignment="1" pivotButton="0" quotePrefix="0" xfId="0">
      <alignment horizontal="general" vertical="bottom"/>
    </xf>
    <xf numFmtId="0" fontId="0" fillId="8" borderId="0" applyAlignment="1" pivotButton="0" quotePrefix="0" xfId="0">
      <alignment horizontal="general" vertical="bottom"/>
    </xf>
    <xf numFmtId="0" fontId="8" fillId="9" borderId="0" applyAlignment="1" pivotButton="0" quotePrefix="0" xfId="0">
      <alignment horizontal="general" vertical="bottom"/>
    </xf>
    <xf numFmtId="0" fontId="0" fillId="9" borderId="0" applyAlignment="1" pivotButton="0" quotePrefix="0" xfId="0">
      <alignment horizontal="general" vertical="bottom"/>
    </xf>
    <xf numFmtId="164" fontId="7" fillId="0" borderId="1" applyAlignment="1" pivotButton="0" quotePrefix="0" xfId="0">
      <alignment horizontal="left" vertical="top" wrapText="1"/>
    </xf>
    <xf numFmtId="0" fontId="8" fillId="10" borderId="0" applyAlignment="1" pivotButton="0" quotePrefix="0" xfId="0">
      <alignment horizontal="general" vertical="bottom"/>
    </xf>
    <xf numFmtId="0" fontId="0" fillId="10" borderId="0" applyAlignment="1" pivotButton="0" quotePrefix="0" xfId="0">
      <alignment horizontal="general" vertical="bottom"/>
    </xf>
    <xf numFmtId="0" fontId="14" fillId="4" borderId="0" applyAlignment="1" pivotButton="0" quotePrefix="0" xfId="0">
      <alignment horizontal="left" vertical="center" indent="1"/>
    </xf>
    <xf numFmtId="0" fontId="14" fillId="5" borderId="0" applyAlignment="1" pivotButton="0" quotePrefix="0" xfId="0">
      <alignment horizontal="left" vertical="center" indent="1"/>
    </xf>
    <xf numFmtId="0" fontId="14" fillId="6" borderId="0" applyAlignment="1" pivotButton="0" quotePrefix="0" xfId="0">
      <alignment horizontal="left" vertical="center" indent="1"/>
    </xf>
    <xf numFmtId="0" fontId="14" fillId="7" borderId="0" applyAlignment="1" pivotButton="0" quotePrefix="0" xfId="0">
      <alignment horizontal="left" vertical="center" indent="1"/>
    </xf>
    <xf numFmtId="0" fontId="14" fillId="8" borderId="0" applyAlignment="1" pivotButton="0" quotePrefix="0" xfId="0">
      <alignment horizontal="left" vertical="center" indent="1"/>
    </xf>
    <xf numFmtId="0" fontId="14" fillId="9" borderId="0" applyAlignment="1" pivotButton="0" quotePrefix="0" xfId="0">
      <alignment horizontal="left" vertical="center" indent="1"/>
    </xf>
    <xf numFmtId="0" fontId="14" fillId="10" borderId="0" applyAlignment="1" pivotButton="0" quotePrefix="0" xfId="0">
      <alignment horizontal="left" vertical="center" indent="1"/>
    </xf>
    <xf numFmtId="0" fontId="14" fillId="11" borderId="0" applyAlignment="1" pivotButton="0" quotePrefix="0" xfId="0">
      <alignment horizontal="left" vertical="center" indent="1"/>
    </xf>
    <xf numFmtId="0" fontId="11" fillId="3" borderId="1" applyAlignment="1" pivotButton="0" quotePrefix="0" xfId="0">
      <alignment horizontal="general" vertical="center" wrapText="1"/>
    </xf>
    <xf numFmtId="0" fontId="15" fillId="4" borderId="1" applyAlignment="1" pivotButton="0" quotePrefix="0" xfId="0">
      <alignment horizontal="general" vertical="top" wrapText="1"/>
    </xf>
    <xf numFmtId="0" fontId="15" fillId="5" borderId="1" applyAlignment="1" pivotButton="0" quotePrefix="0" xfId="0">
      <alignment horizontal="general" vertical="top" wrapText="1"/>
    </xf>
    <xf numFmtId="0" fontId="15" fillId="6" borderId="1" applyAlignment="1" pivotButton="0" quotePrefix="0" xfId="0">
      <alignment horizontal="general" vertical="top" wrapText="1"/>
    </xf>
    <xf numFmtId="0" fontId="15" fillId="7" borderId="1" applyAlignment="1" pivotButton="0" quotePrefix="0" xfId="0">
      <alignment horizontal="general" vertical="top" wrapText="1"/>
    </xf>
    <xf numFmtId="0" fontId="15" fillId="8" borderId="1" applyAlignment="1" pivotButton="0" quotePrefix="0" xfId="0">
      <alignment horizontal="general" vertical="top" wrapText="1"/>
    </xf>
    <xf numFmtId="0" fontId="15" fillId="9" borderId="1" applyAlignment="1" pivotButton="0" quotePrefix="0" xfId="0">
      <alignment horizontal="general" vertical="top" wrapText="1"/>
    </xf>
    <xf numFmtId="0" fontId="15" fillId="10" borderId="1" applyAlignment="1" pivotButton="0" quotePrefix="0" xfId="0">
      <alignment horizontal="general" vertical="top" wrapText="1"/>
    </xf>
    <xf numFmtId="0" fontId="15" fillId="11"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xf>
    <xf numFmtId="0" fontId="16" fillId="12" borderId="1" applyAlignment="1" pivotButton="0" quotePrefix="0" xfId="0">
      <alignment horizontal="general" vertical="top"/>
    </xf>
    <xf numFmtId="0" fontId="14" fillId="10" borderId="0" applyAlignment="1" pivotButton="0" quotePrefix="0" xfId="0">
      <alignment horizontal="general" vertical="bottom"/>
    </xf>
    <xf numFmtId="0" fontId="6" fillId="0" borderId="0" applyAlignment="1" pivotButton="0" quotePrefix="0" xfId="0">
      <alignment horizontal="general" vertical="bottom"/>
    </xf>
    <xf numFmtId="0" fontId="11" fillId="3" borderId="1" applyAlignment="1" pivotButton="0" quotePrefix="0" xfId="0">
      <alignment horizontal="general" vertical="bottom"/>
    </xf>
    <xf numFmtId="0" fontId="17" fillId="0" borderId="0" applyAlignment="1" pivotButton="0" quotePrefix="0" xfId="0">
      <alignment horizontal="general" vertical="bottom"/>
    </xf>
    <xf numFmtId="0" fontId="7" fillId="0" borderId="1" applyAlignment="1" pivotButton="0" quotePrefix="0" xfId="0">
      <alignment horizontal="center" vertical="top" wrapText="1"/>
    </xf>
    <xf numFmtId="0" fontId="11"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left" vertical="bottom"/>
    </xf>
    <xf numFmtId="0" fontId="8" fillId="0" borderId="0" applyAlignment="1" pivotButton="0" quotePrefix="0" xfId="0">
      <alignment horizontal="general" vertical="top"/>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1" applyAlignment="1" pivotButton="0" quotePrefix="0" xfId="0">
      <alignment horizontal="general" vertical="bottom"/>
    </xf>
    <xf numFmtId="0" fontId="10" fillId="0" borderId="0" applyAlignment="1" pivotButton="0" quotePrefix="0" xfId="0">
      <alignment horizontal="general" vertical="bottom"/>
    </xf>
    <xf numFmtId="0" fontId="11" fillId="3" borderId="1" applyAlignment="1" pivotButton="0" quotePrefix="0" xfId="0">
      <alignment horizontal="general" vertical="bottom"/>
    </xf>
    <xf numFmtId="0" fontId="8" fillId="4" borderId="0" applyAlignment="1" pivotButton="0" quotePrefix="0" xfId="0">
      <alignment horizontal="general" vertical="bottom"/>
    </xf>
    <xf numFmtId="0" fontId="0" fillId="4" borderId="0" applyAlignment="1" pivotButton="0" quotePrefix="0" xfId="0">
      <alignment horizontal="general" vertical="bottom"/>
    </xf>
    <xf numFmtId="0" fontId="8" fillId="0" borderId="1" applyAlignment="1" pivotButton="0" quotePrefix="0" xfId="0">
      <alignment horizontal="general" vertical="top"/>
    </xf>
    <xf numFmtId="0" fontId="7" fillId="0" borderId="1" applyAlignment="1" pivotButton="0" quotePrefix="0" xfId="0">
      <alignment horizontal="left" vertical="top" wrapText="1"/>
    </xf>
    <xf numFmtId="0" fontId="12" fillId="0" borderId="1" applyAlignment="1" pivotButton="0" quotePrefix="0" xfId="0">
      <alignment horizontal="general" vertical="top"/>
    </xf>
    <xf numFmtId="0" fontId="9" fillId="0" borderId="1" applyAlignment="1" pivotButton="0" quotePrefix="0" xfId="0">
      <alignment horizontal="general" vertical="top"/>
    </xf>
    <xf numFmtId="0" fontId="7" fillId="0" borderId="1" applyAlignment="1" pivotButton="0" quotePrefix="0" xfId="0">
      <alignment horizontal="general" vertical="top"/>
    </xf>
    <xf numFmtId="0" fontId="13" fillId="0" borderId="1" applyAlignment="1" pivotButton="0" quotePrefix="0" xfId="0">
      <alignment horizontal="general" vertical="top"/>
    </xf>
    <xf numFmtId="0" fontId="8" fillId="5" borderId="0" applyAlignment="1" pivotButton="0" quotePrefix="0" xfId="0">
      <alignment horizontal="general" vertical="bottom"/>
    </xf>
    <xf numFmtId="0" fontId="0" fillId="5" borderId="0" applyAlignment="1" pivotButton="0" quotePrefix="0" xfId="0">
      <alignment horizontal="general" vertical="bottom"/>
    </xf>
    <xf numFmtId="0" fontId="8" fillId="6" borderId="0" applyAlignment="1" pivotButton="0" quotePrefix="0" xfId="0">
      <alignment horizontal="general" vertical="bottom"/>
    </xf>
    <xf numFmtId="0" fontId="0" fillId="6" borderId="0" applyAlignment="1" pivotButton="0" quotePrefix="0" xfId="0">
      <alignment horizontal="general" vertical="bottom"/>
    </xf>
    <xf numFmtId="0" fontId="8" fillId="7" borderId="0" applyAlignment="1" pivotButton="0" quotePrefix="0" xfId="0">
      <alignment horizontal="general" vertical="bottom"/>
    </xf>
    <xf numFmtId="0" fontId="0" fillId="7" borderId="0" applyAlignment="1" pivotButton="0" quotePrefix="0" xfId="0">
      <alignment horizontal="general" vertical="bottom"/>
    </xf>
    <xf numFmtId="0" fontId="8" fillId="8" borderId="0" applyAlignment="1" pivotButton="0" quotePrefix="0" xfId="0">
      <alignment horizontal="general" vertical="bottom"/>
    </xf>
    <xf numFmtId="0" fontId="0" fillId="8" borderId="0" applyAlignment="1" pivotButton="0" quotePrefix="0" xfId="0">
      <alignment horizontal="general" vertical="bottom"/>
    </xf>
    <xf numFmtId="0" fontId="8" fillId="9" borderId="0" applyAlignment="1" pivotButton="0" quotePrefix="0" xfId="0">
      <alignment horizontal="general" vertical="bottom"/>
    </xf>
    <xf numFmtId="0" fontId="0" fillId="9" borderId="0" applyAlignment="1" pivotButton="0" quotePrefix="0" xfId="0">
      <alignment horizontal="general" vertical="bottom"/>
    </xf>
    <xf numFmtId="164" fontId="7" fillId="0" borderId="1" applyAlignment="1" pivotButton="0" quotePrefix="0" xfId="0">
      <alignment horizontal="left" vertical="top" wrapText="1"/>
    </xf>
    <xf numFmtId="0" fontId="8" fillId="10" borderId="0" applyAlignment="1" pivotButton="0" quotePrefix="0" xfId="0">
      <alignment horizontal="general" vertical="bottom"/>
    </xf>
    <xf numFmtId="0" fontId="0" fillId="10" borderId="0" applyAlignment="1" pivotButton="0" quotePrefix="0" xfId="0">
      <alignment horizontal="general" vertical="bottom"/>
    </xf>
    <xf numFmtId="0" fontId="14" fillId="4" borderId="0" applyAlignment="1" pivotButton="0" quotePrefix="0" xfId="0">
      <alignment horizontal="left" vertical="center" indent="1"/>
    </xf>
    <xf numFmtId="0" fontId="14" fillId="5" borderId="0" applyAlignment="1" pivotButton="0" quotePrefix="0" xfId="0">
      <alignment horizontal="left" vertical="center" indent="1"/>
    </xf>
    <xf numFmtId="0" fontId="14" fillId="6" borderId="0" applyAlignment="1" pivotButton="0" quotePrefix="0" xfId="0">
      <alignment horizontal="left" vertical="center" indent="1"/>
    </xf>
    <xf numFmtId="0" fontId="14" fillId="7" borderId="0" applyAlignment="1" pivotButton="0" quotePrefix="0" xfId="0">
      <alignment horizontal="left" vertical="center" indent="1"/>
    </xf>
    <xf numFmtId="0" fontId="14" fillId="8" borderId="0" applyAlignment="1" pivotButton="0" quotePrefix="0" xfId="0">
      <alignment horizontal="left" vertical="center" indent="1"/>
    </xf>
    <xf numFmtId="0" fontId="14" fillId="9" borderId="0" applyAlignment="1" pivotButton="0" quotePrefix="0" xfId="0">
      <alignment horizontal="left" vertical="center" indent="1"/>
    </xf>
    <xf numFmtId="0" fontId="14" fillId="10" borderId="0" applyAlignment="1" pivotButton="0" quotePrefix="0" xfId="0">
      <alignment horizontal="left" vertical="center" indent="1"/>
    </xf>
    <xf numFmtId="0" fontId="14" fillId="11" borderId="0" applyAlignment="1" pivotButton="0" quotePrefix="0" xfId="0">
      <alignment horizontal="left" vertical="center" indent="1"/>
    </xf>
    <xf numFmtId="0" fontId="11" fillId="3" borderId="1" applyAlignment="1" pivotButton="0" quotePrefix="0" xfId="0">
      <alignment horizontal="general" vertical="center" wrapText="1"/>
    </xf>
    <xf numFmtId="0" fontId="15" fillId="4" borderId="1" applyAlignment="1" pivotButton="0" quotePrefix="0" xfId="0">
      <alignment horizontal="general" vertical="top" wrapText="1"/>
    </xf>
    <xf numFmtId="0" fontId="15" fillId="5" borderId="1" applyAlignment="1" pivotButton="0" quotePrefix="0" xfId="0">
      <alignment horizontal="general" vertical="top" wrapText="1"/>
    </xf>
    <xf numFmtId="0" fontId="15" fillId="6" borderId="1" applyAlignment="1" pivotButton="0" quotePrefix="0" xfId="0">
      <alignment horizontal="general" vertical="top" wrapText="1"/>
    </xf>
    <xf numFmtId="0" fontId="15" fillId="7" borderId="1" applyAlignment="1" pivotButton="0" quotePrefix="0" xfId="0">
      <alignment horizontal="general" vertical="top" wrapText="1"/>
    </xf>
    <xf numFmtId="0" fontId="15" fillId="8" borderId="1" applyAlignment="1" pivotButton="0" quotePrefix="0" xfId="0">
      <alignment horizontal="general" vertical="top" wrapText="1"/>
    </xf>
    <xf numFmtId="0" fontId="15" fillId="9" borderId="1" applyAlignment="1" pivotButton="0" quotePrefix="0" xfId="0">
      <alignment horizontal="general" vertical="top" wrapText="1"/>
    </xf>
    <xf numFmtId="0" fontId="15" fillId="10" borderId="1" applyAlignment="1" pivotButton="0" quotePrefix="0" xfId="0">
      <alignment horizontal="general" vertical="top" wrapText="1"/>
    </xf>
    <xf numFmtId="0" fontId="15" fillId="11"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xf>
    <xf numFmtId="0" fontId="16" fillId="12" borderId="1" applyAlignment="1" pivotButton="0" quotePrefix="0" xfId="0">
      <alignment horizontal="general" vertical="top"/>
    </xf>
    <xf numFmtId="0" fontId="14" fillId="10" borderId="0" applyAlignment="1" pivotButton="0" quotePrefix="0" xfId="0">
      <alignment horizontal="general" vertical="bottom"/>
    </xf>
    <xf numFmtId="0" fontId="18" fillId="13" borderId="0" pivotButton="0" quotePrefix="0" xfId="0"/>
    <xf numFmtId="0" fontId="19" fillId="14" borderId="2" pivotButton="0" quotePrefix="0" xfId="0"/>
    <xf numFmtId="0" fontId="20" fillId="0" borderId="2" applyAlignment="1" pivotButton="0" quotePrefix="0" xfId="0">
      <alignment vertical="top"/>
    </xf>
    <xf numFmtId="0" fontId="20" fillId="0" borderId="2" applyAlignment="1" pivotButton="0" quotePrefix="0" xfId="0">
      <alignment vertical="top" wrapText="1"/>
    </xf>
    <xf numFmtId="0" fontId="17" fillId="0" borderId="0" applyAlignment="1" pivotButton="0" quotePrefix="0" xfId="0">
      <alignment horizontal="general" vertical="bottom"/>
    </xf>
    <xf numFmtId="0" fontId="7" fillId="0" borderId="1" applyAlignment="1" pivotButton="0" quotePrefix="0" xfId="0">
      <alignment horizontal="center" vertical="top" wrapText="1"/>
    </xf>
    <xf numFmtId="0" fontId="11"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4">
    <dxf>
      <fill>
        <patternFill patternType="solid">
          <fgColor rgb="FF0F1B2D"/>
          <bgColor rgb="FF000000"/>
        </patternFill>
      </fill>
    </dxf>
    <dxf>
      <fill>
        <patternFill patternType="solid">
          <fgColor rgb="FFDCE4EA"/>
          <bgColor rgb="FF000000"/>
        </patternFill>
      </fill>
    </dxf>
    <dxf>
      <fill>
        <patternFill patternType="solid">
          <bgColor rgb="FF000000"/>
        </patternFill>
      </fill>
    </dxf>
    <dxf>
      <fill>
        <patternFill patternType="solid">
          <fgColor rgb="FF4A5868"/>
          <bgColor rgb="FF000000"/>
        </patternFill>
      </fill>
    </dxf>
    <dxf>
      <fill>
        <patternFill patternType="solid">
          <fgColor rgb="FFFFFFFF"/>
          <bgColor rgb="FF000000"/>
        </patternFill>
      </fill>
    </dxf>
    <dxf>
      <fill>
        <patternFill patternType="solid">
          <fgColor rgb="FFF3E2D9"/>
          <bgColor rgb="FF000000"/>
        </patternFill>
      </fill>
    </dxf>
    <dxf>
      <fill>
        <patternFill patternType="solid">
          <fgColor rgb="FFE8E3D3"/>
          <bgColor rgb="FF000000"/>
        </patternFill>
      </fill>
    </dxf>
    <dxf>
      <fill>
        <patternFill patternType="solid">
          <fgColor rgb="FFDDEBE0"/>
          <bgColor rgb="FF000000"/>
        </patternFill>
      </fill>
    </dxf>
    <dxf>
      <fill>
        <patternFill patternType="solid">
          <fgColor rgb="FFE3E0EF"/>
          <bgColor rgb="FF000000"/>
        </patternFill>
      </fill>
    </dxf>
    <dxf>
      <fill>
        <patternFill patternType="solid">
          <fgColor rgb="FFF6E1DF"/>
          <bgColor rgb="FF000000"/>
        </patternFill>
      </fill>
    </dxf>
    <dxf>
      <fill>
        <patternFill patternType="solid">
          <fgColor rgb="FFE6E9EC"/>
          <bgColor rgb="FF000000"/>
        </patternFill>
      </fill>
    </dxf>
    <dxf>
      <fill>
        <patternFill patternType="solid">
          <fgColor rgb="FFD5DBE1"/>
          <bgColor rgb="FF000000"/>
        </patternFill>
      </fill>
    </dxf>
    <dxf>
      <fill>
        <patternFill patternType="solid">
          <fgColor rgb="FFEEF1F4"/>
          <bgColor rgb="FF000000"/>
        </patternFill>
      </fill>
    </dxf>
    <dxf>
      <fill>
        <patternFill patternType="solid">
          <fgColor rgb="FF33414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CE4EA"/>
      <rgbColor rgb="FF808080"/>
      <rgbColor rgb="FF9999FF"/>
      <rgbColor rgb="FFB42318"/>
      <rgbColor rgb="FFFFF8E6"/>
      <rgbColor rgb="FFEEF1F4"/>
      <rgbColor rgb="FF660066"/>
      <rgbColor rgb="FFFF8080"/>
      <rgbColor rgb="FF0066CC"/>
      <rgbColor rgb="FFD5DBE1"/>
      <rgbColor rgb="FF000080"/>
      <rgbColor rgb="FFFF00FF"/>
      <rgbColor rgb="FFFFFF00"/>
      <rgbColor rgb="FF00FFFF"/>
      <rgbColor rgb="FF800080"/>
      <rgbColor rgb="FF800000"/>
      <rgbColor rgb="FF008080"/>
      <rgbColor rgb="FF0000FF"/>
      <rgbColor rgb="FF00CCFF"/>
      <rgbColor rgb="FFE6E9EC"/>
      <rgbColor rgb="FFDDEBE0"/>
      <rgbColor rgb="FFE8E3D3"/>
      <rgbColor rgb="FFE3E0EF"/>
      <rgbColor rgb="FFF6E1DF"/>
      <rgbColor rgb="FFCC99FF"/>
      <rgbColor rgb="FFF3E2D9"/>
      <rgbColor rgb="FF3366FF"/>
      <rgbColor rgb="FF33CCCC"/>
      <rgbColor rgb="FF99CC00"/>
      <rgbColor rgb="FFFFCC00"/>
      <rgbColor rgb="FFFF9900"/>
      <rgbColor rgb="FFFF6600"/>
      <rgbColor rgb="FF4A5868"/>
      <rgbColor rgb="FF8A96A3"/>
      <rgbColor rgb="FF003366"/>
      <rgbColor rgb="FF339966"/>
      <rgbColor rgb="FF0F1B2D"/>
      <rgbColor rgb="FF333300"/>
      <rgbColor rgb="FF9A3A16"/>
      <rgbColor rgb="FF993366"/>
      <rgbColor rgb="FF333399"/>
      <rgbColor rgb="FF33414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61" min="1" max="1"/>
    <col width="90" customWidth="1" style="61" min="2" max="2"/>
  </cols>
  <sheetData>
    <row r="1" ht="19.5" customHeight="1" s="62">
      <c r="A1" s="63" t="inlineStr">
        <is>
          <t>Planetary Analogue Catalogue: data entry workbook</t>
        </is>
      </c>
    </row>
    <row r="2" ht="15" customHeight="1" s="62">
      <c r="A2" s="64" t="inlineStr">
        <is>
          <t>One row per site on the Sites tab; one row per source on the References tab.</t>
        </is>
      </c>
    </row>
    <row r="4" ht="15" customHeight="1" s="62">
      <c r="A4" s="65" t="inlineStr">
        <is>
          <t>Progress</t>
        </is>
      </c>
    </row>
    <row r="5" ht="15" customHeight="1" s="62">
      <c r="A5" s="66" t="inlineStr">
        <is>
          <t>Sites entered</t>
        </is>
      </c>
      <c r="B5" s="67">
        <f>COUNTA(Sites!B4:B503)</f>
        <v/>
      </c>
    </row>
    <row r="6" ht="15" customHeight="1" s="62">
      <c r="A6" s="66" t="inlineStr">
        <is>
          <t>Complete (ready to review)</t>
        </is>
      </c>
      <c r="B6" s="67">
        <f>COUNTIF(Sites!BB4:BB503,"Complete")</f>
        <v/>
      </c>
    </row>
    <row r="7" ht="15" customHeight="1" s="62">
      <c r="A7" s="66" t="inlineStr">
        <is>
          <t>Verified</t>
        </is>
      </c>
      <c r="B7" s="67">
        <f>COUNTIF(Sites!AX4:AX503,"Verified")</f>
        <v/>
      </c>
    </row>
    <row r="8" ht="15" customHeight="1" s="62">
      <c r="A8" s="66" t="inlineStr">
        <is>
          <t>References logged</t>
        </is>
      </c>
      <c r="B8" s="67">
        <f>COUNTA(References!A4:A503)</f>
        <v/>
      </c>
    </row>
    <row r="10" ht="15" customHeight="1" s="62">
      <c r="A10" s="65" t="inlineStr">
        <is>
          <t>How to fill it in</t>
        </is>
      </c>
    </row>
    <row r="11" ht="15" customHeight="1" s="62">
      <c r="A11" s="68" t="inlineStr">
        <is>
          <t>White cells</t>
        </is>
      </c>
      <c r="B11" s="69" t="inlineStr">
        <is>
          <t>Type or pick a value. Columns marked * are required before an entry can be reviewed.</t>
        </is>
      </c>
    </row>
    <row r="12" ht="15" customHeight="1" s="62">
      <c r="A12" s="68" t="inlineStr">
        <is>
          <t>Dropdown columns</t>
        </is>
      </c>
      <c r="B12" s="69" t="inlineStr">
        <is>
          <t>Click the cell and choose from the list. Lists live on the Vocabularies tab.</t>
        </is>
      </c>
    </row>
    <row r="13" ht="15" customHeight="1" s="62">
      <c r="A13" s="68" t="inlineStr">
        <is>
          <t>"_other" and hazards columns</t>
        </is>
      </c>
      <c r="B13" s="69" t="inlineStr">
        <is>
          <t>Several values from the Vocabularies lists, separated by semicolons, e.g. "Moon; Europa".</t>
        </is>
      </c>
    </row>
    <row r="14" ht="23.25" customHeight="1" s="62">
      <c r="A14" s="68" t="inlineStr">
        <is>
          <t>Grey columns (Checks)</t>
        </is>
      </c>
      <c r="B14" s="69" t="inlineStr">
        <is>
          <t>Calculated automatically. Do not type in them. "Complete" means every required field is filled and the site has at least one reference.</t>
        </is>
      </c>
    </row>
    <row r="15" ht="15" customHeight="1" s="62">
      <c r="A15" s="68" t="inlineStr">
        <is>
          <t>Model entry</t>
        </is>
      </c>
      <c r="B15" s="69" t="inlineStr">
        <is>
          <t>Río Tinto (row 4 on Sites) is a good model of a complete entry.</t>
        </is>
      </c>
    </row>
    <row r="16" ht="15" customHeight="1" s="62">
      <c r="A16" s="68" t="inlineStr">
        <is>
          <t>Unknown values</t>
        </is>
      </c>
      <c r="B16" s="69" t="inlineStr">
        <is>
          <t>Leave the cell blank. Never guess a number.</t>
        </is>
      </c>
    </row>
    <row r="17" ht="15" customHeight="1" s="62">
      <c r="A17" s="68" t="inlineStr">
        <is>
          <t>Sources</t>
        </is>
      </c>
      <c r="B17" s="69" t="inlineStr">
        <is>
          <t>Add each paper to the References tab with the site id, and list which fields it supports.</t>
        </is>
      </c>
    </row>
    <row r="18" ht="15" customHeight="1" s="62">
      <c r="A18" s="68" t="inlineStr">
        <is>
          <t>Ratings</t>
        </is>
      </c>
      <c r="B18" s="69" t="inlineStr">
        <is>
          <t>Use the Rating scales tab and fill rating_last_reviewed with the date you checked.</t>
        </is>
      </c>
    </row>
    <row r="19" ht="15" customHeight="1" s="62">
      <c r="A19" s="68" t="inlineStr">
        <is>
          <t>Sensitive sites</t>
        </is>
      </c>
      <c r="B19" s="69" t="inlineStr">
        <is>
          <t>Set sensitive_site to Yes and coordinate_precision to "Approximately 10 km" or "Region only".</t>
        </is>
      </c>
    </row>
    <row r="20" ht="15" customHeight="1" s="62">
      <c r="A20" s="68" t="inlineStr">
        <is>
          <t>Review status</t>
        </is>
      </c>
      <c r="B20" s="69" t="inlineStr">
        <is>
          <t>Draft while you work → In review when Complete → Verified after a second person checks it.</t>
        </is>
      </c>
    </row>
    <row r="22" ht="23.25" customHeight="1" s="62">
      <c r="A22" s="70" t="inlineStr">
        <is>
          <t>Note</t>
        </is>
      </c>
      <c r="B22" s="69" t="inlineStr">
        <is>
          <t>All 16 sites were researched on 11 October 2026. Every value comes from a source on the References tab, apart from fields marked as judgement on the Research log tab. Hazard and access ratings are proposals: check them, then fill rating_last_reviewed and contributors. Open questions per site are on the Research log tab.</t>
        </is>
      </c>
    </row>
    <row r="24" ht="15" customHeight="1" s="62">
      <c r="A24" s="65" t="inlineStr">
        <is>
          <t>Jump to</t>
        </is>
      </c>
    </row>
    <row r="25" ht="15" customHeight="1" s="62">
      <c r="A25" s="71">
        <f>HYPERLINK("#'Site view'!B2","Site view: one site at a time")</f>
        <v/>
      </c>
    </row>
    <row r="26" ht="15" customHeight="1" s="62">
      <c r="A26" s="71">
        <f>HYPERLINK("#Sites!A2","Sites: Identity")</f>
        <v/>
      </c>
    </row>
    <row r="27" ht="15" customHeight="1" s="62">
      <c r="A27" s="71">
        <f>HYPERLINK("#Sites!M2","Sites: Analogue")</f>
        <v/>
      </c>
    </row>
    <row r="28" ht="15" customHeight="1" s="62">
      <c r="A28" s="71">
        <f>HYPERLINK("#Sites!T2","Sites: Geology")</f>
        <v/>
      </c>
    </row>
    <row r="29" ht="15" customHeight="1" s="62">
      <c r="A29" s="71">
        <f>HYPERLINK("#Sites!X2","Sites: Environment")</f>
        <v/>
      </c>
    </row>
    <row r="30" ht="15" customHeight="1" s="62">
      <c r="A30" s="71">
        <f>HYPERLINK("#Sites!AI2","Sites: Access")</f>
        <v/>
      </c>
    </row>
    <row r="31" ht="15" customHeight="1" s="62">
      <c r="A31" s="71">
        <f>HYPERLINK("#Sites!AQ2","Sites: Safety")</f>
        <v/>
      </c>
    </row>
    <row r="32" ht="15" customHeight="1" s="62">
      <c r="A32" s="71">
        <f>HYPERLINK("#Sites!AU2","Sites: Provenance")</f>
        <v/>
      </c>
    </row>
    <row r="33" ht="15" customHeight="1" s="62">
      <c r="A33" s="71">
        <f>HYPERLINK("#References!A2","References")</f>
        <v/>
      </c>
    </row>
    <row r="35" ht="23.25" customHeight="1" s="62">
      <c r="A35" s="70" t="inlineStr">
        <is>
          <t>Tip</t>
        </is>
      </c>
      <c r="B35" s="69" t="inlineStr">
        <is>
          <t>On the Sites tab, click the small minus buttons above the column letters to fold away sections you are not working on. id and name always stay visible on the left.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64"/>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61" min="1" max="1"/>
    <col width="80" customWidth="1" style="61" min="2" max="2"/>
    <col width="20" customWidth="1" style="61" min="3" max="3"/>
    <col width="14" customWidth="1" style="61" min="4" max="4"/>
  </cols>
  <sheetData>
    <row r="1" ht="19.5" customHeight="1" s="62">
      <c r="A1" s="63" t="inlineStr">
        <is>
          <t>Site view</t>
        </is>
      </c>
    </row>
    <row r="2" ht="15" customHeight="1" s="62">
      <c r="A2" s="70" t="inlineStr">
        <is>
          <t>Choose a site:</t>
        </is>
      </c>
      <c r="B2" s="72" t="inlineStr">
        <is>
          <t>rio-tinto-es</t>
        </is>
      </c>
      <c r="C2" s="73" t="inlineStr">
        <is>
          <t>← click, then use the dropdown</t>
        </is>
      </c>
    </row>
    <row r="3" ht="15" customHeight="1" s="62">
      <c r="A3" s="73" t="inlineStr">
        <is>
          <t>Read-only view of one site. Make changes on the Sites tab (the Edit links jump to the right cell in Excel).</t>
        </is>
      </c>
    </row>
    <row r="4" ht="15" customHeight="1" s="62">
      <c r="A4" s="70" t="inlineStr">
        <is>
          <t>Status</t>
        </is>
      </c>
      <c r="B4" s="70">
        <f>IFERROR(INDEX(Sites!$BB$4:$BB$503,MATCH($B$2,Sites!$A$4:$A$503,0))&amp;": "&amp;INDEX(Sites!$BA$4:$BA$503,MATCH($B$2,Sites!$A$4:$A$503,0))&amp;" required fields missing, "&amp;INDEX(Sites!$AZ$4:$AZ$503,MATCH($B$2,Sites!$A$4:$A$503,0))&amp;" references","Site not found")</f>
        <v/>
      </c>
    </row>
    <row r="6" ht="15" customHeight="1" s="62">
      <c r="A6" s="74" t="inlineStr">
        <is>
          <t>Field</t>
        </is>
      </c>
      <c r="B6" s="74" t="inlineStr">
        <is>
          <t>Value</t>
        </is>
      </c>
      <c r="C6" s="74" t="inlineStr">
        <is>
          <t>Check</t>
        </is>
      </c>
      <c r="D6" s="74" t="inlineStr">
        <is>
          <t>Edit</t>
        </is>
      </c>
    </row>
    <row r="7" ht="15" customHeight="1" s="62">
      <c r="A7" s="75" t="inlineStr">
        <is>
          <t>IDENTITY</t>
        </is>
      </c>
      <c r="B7" s="76" t="n"/>
      <c r="C7" s="76" t="n"/>
      <c r="D7" s="76" t="n"/>
    </row>
    <row r="8" ht="15" customHeight="1" s="62">
      <c r="A8" s="77" t="inlineStr">
        <is>
          <t>id *</t>
        </is>
      </c>
      <c r="B8" s="78">
        <f>IFERROR(IF(INDEX(Sites!$A$4:$A$503,MATCH($B$2,Sites!$A$4:$A$503,0))="","",INDEX(Sites!$A$4:$A$503,MATCH($B$2,Sites!$A$4:$A$503,0))),"")</f>
        <v/>
      </c>
      <c r="C8" s="79">
        <f>IF(B8="","Required: missing","")</f>
        <v/>
      </c>
      <c r="D8" s="80">
        <f>IFERROR(HYPERLINK("#Sites!A"&amp;(MATCH($B$2,Sites!$A$4:$A$503,0)+3),"Edit"),"")</f>
        <v/>
      </c>
    </row>
    <row r="9" ht="15" customHeight="1" s="62">
      <c r="A9" s="77" t="inlineStr">
        <is>
          <t>name *</t>
        </is>
      </c>
      <c r="B9" s="78">
        <f>IFERROR(IF(INDEX(Sites!$B$4:$B$503,MATCH($B$2,Sites!$A$4:$A$503,0))="","",INDEX(Sites!$B$4:$B$503,MATCH($B$2,Sites!$A$4:$A$503,0))),"")</f>
        <v/>
      </c>
      <c r="C9" s="79">
        <f>IF(B9="","Required: missing","")</f>
        <v/>
      </c>
      <c r="D9" s="80">
        <f>IFERROR(HYPERLINK("#Sites!B"&amp;(MATCH($B$2,Sites!$A$4:$A$503,0)+3),"Edit"),"")</f>
        <v/>
      </c>
    </row>
    <row r="10" ht="15" customHeight="1" s="62">
      <c r="A10" s="81" t="inlineStr">
        <is>
          <t>alt_names</t>
        </is>
      </c>
      <c r="B10" s="78">
        <f>IFERROR(IF(INDEX(Sites!$C$4:$C$503,MATCH($B$2,Sites!$A$4:$A$503,0))="","",INDEX(Sites!$C$4:$C$503,MATCH($B$2,Sites!$A$4:$A$503,0))),"")</f>
        <v/>
      </c>
      <c r="C10" s="82">
        <f>IF(B10="","empty","")</f>
        <v/>
      </c>
      <c r="D10" s="80">
        <f>IFERROR(HYPERLINK("#Sites!C"&amp;(MATCH($B$2,Sites!$A$4:$A$503,0)+3),"Edit"),"")</f>
        <v/>
      </c>
    </row>
    <row r="11" ht="15" customHeight="1" s="62">
      <c r="A11" s="77" t="inlineStr">
        <is>
          <t>country *</t>
        </is>
      </c>
      <c r="B11" s="78">
        <f>IFERROR(IF(INDEX(Sites!$D$4:$D$503,MATCH($B$2,Sites!$A$4:$A$503,0))="","",INDEX(Sites!$D$4:$D$503,MATCH($B$2,Sites!$A$4:$A$503,0))),"")</f>
        <v/>
      </c>
      <c r="C11" s="79">
        <f>IF(B11="","Required: missing","")</f>
        <v/>
      </c>
      <c r="D11" s="80">
        <f>IFERROR(HYPERLINK("#Sites!D"&amp;(MATCH($B$2,Sites!$A$4:$A$503,0)+3),"Edit"),"")</f>
        <v/>
      </c>
    </row>
    <row r="12" ht="15" customHeight="1" s="62">
      <c r="A12" s="81" t="inlineStr">
        <is>
          <t>country_code</t>
        </is>
      </c>
      <c r="B12" s="78">
        <f>IFERROR(IF(INDEX(Sites!$E$4:$E$503,MATCH($B$2,Sites!$A$4:$A$503,0))="","",INDEX(Sites!$E$4:$E$503,MATCH($B$2,Sites!$A$4:$A$503,0))),"")</f>
        <v/>
      </c>
      <c r="C12" s="82">
        <f>IF(B12="","empty","")</f>
        <v/>
      </c>
      <c r="D12" s="80">
        <f>IFERROR(HYPERLINK("#Sites!E"&amp;(MATCH($B$2,Sites!$A$4:$A$503,0)+3),"Edit"),"")</f>
        <v/>
      </c>
    </row>
    <row r="13" ht="15" customHeight="1" s="62">
      <c r="A13" s="81" t="inlineStr">
        <is>
          <t>region</t>
        </is>
      </c>
      <c r="B13" s="78">
        <f>IFERROR(IF(INDEX(Sites!$F$4:$F$503,MATCH($B$2,Sites!$A$4:$A$503,0))="","",INDEX(Sites!$F$4:$F$503,MATCH($B$2,Sites!$A$4:$A$503,0))),"")</f>
        <v/>
      </c>
      <c r="C13" s="82">
        <f>IF(B13="","empty","")</f>
        <v/>
      </c>
      <c r="D13" s="80">
        <f>IFERROR(HYPERLINK("#Sites!F"&amp;(MATCH($B$2,Sites!$A$4:$A$503,0)+3),"Edit"),"")</f>
        <v/>
      </c>
    </row>
    <row r="14" ht="15" customHeight="1" s="62">
      <c r="A14" s="77" t="inlineStr">
        <is>
          <t>latitude *</t>
        </is>
      </c>
      <c r="B14" s="78">
        <f>IFERROR(IF(INDEX(Sites!$G$4:$G$503,MATCH($B$2,Sites!$A$4:$A$503,0))="","",INDEX(Sites!$G$4:$G$503,MATCH($B$2,Sites!$A$4:$A$503,0))),"")</f>
        <v/>
      </c>
      <c r="C14" s="79">
        <f>IF(B14="","Required: missing","")</f>
        <v/>
      </c>
      <c r="D14" s="80">
        <f>IFERROR(HYPERLINK("#Sites!G"&amp;(MATCH($B$2,Sites!$A$4:$A$503,0)+3),"Edit"),"")</f>
        <v/>
      </c>
    </row>
    <row r="15" ht="15" customHeight="1" s="62">
      <c r="A15" s="77" t="inlineStr">
        <is>
          <t>longitude *</t>
        </is>
      </c>
      <c r="B15" s="78">
        <f>IFERROR(IF(INDEX(Sites!$H$4:$H$503,MATCH($B$2,Sites!$A$4:$A$503,0))="","",INDEX(Sites!$H$4:$H$503,MATCH($B$2,Sites!$A$4:$A$503,0))),"")</f>
        <v/>
      </c>
      <c r="C15" s="79">
        <f>IF(B15="","Required: missing","")</f>
        <v/>
      </c>
      <c r="D15" s="80">
        <f>IFERROR(HYPERLINK("#Sites!H"&amp;(MATCH($B$2,Sites!$A$4:$A$503,0)+3),"Edit"),"")</f>
        <v/>
      </c>
    </row>
    <row r="16" ht="15" customHeight="1" s="62">
      <c r="A16" s="77" t="inlineStr">
        <is>
          <t>coordinate_precision *</t>
        </is>
      </c>
      <c r="B16" s="78">
        <f>IFERROR(IF(INDEX(Sites!$I$4:$I$503,MATCH($B$2,Sites!$A$4:$A$503,0))="","",INDEX(Sites!$I$4:$I$503,MATCH($B$2,Sites!$A$4:$A$503,0))),"")</f>
        <v/>
      </c>
      <c r="C16" s="79">
        <f>IF(B16="","Required: missing","")</f>
        <v/>
      </c>
      <c r="D16" s="80">
        <f>IFERROR(HYPERLINK("#Sites!I"&amp;(MATCH($B$2,Sites!$A$4:$A$503,0)+3),"Edit"),"")</f>
        <v/>
      </c>
    </row>
    <row r="17" ht="15" customHeight="1" s="62">
      <c r="A17" s="77" t="inlineStr">
        <is>
          <t>sensitive_site *</t>
        </is>
      </c>
      <c r="B17" s="78">
        <f>IFERROR(IF(INDEX(Sites!$J$4:$J$503,MATCH($B$2,Sites!$A$4:$A$503,0))="","",INDEX(Sites!$J$4:$J$503,MATCH($B$2,Sites!$A$4:$A$503,0))),"")</f>
        <v/>
      </c>
      <c r="C17" s="79">
        <f>IF(B17="","Required: missing","")</f>
        <v/>
      </c>
      <c r="D17" s="80">
        <f>IFERROR(HYPERLINK("#Sites!J"&amp;(MATCH($B$2,Sites!$A$4:$A$503,0)+3),"Edit"),"")</f>
        <v/>
      </c>
    </row>
    <row r="18" ht="15" customHeight="1" s="62">
      <c r="A18" s="81" t="inlineStr">
        <is>
          <t>extent_km2</t>
        </is>
      </c>
      <c r="B18" s="78">
        <f>IFERROR(IF(INDEX(Sites!$K$4:$K$503,MATCH($B$2,Sites!$A$4:$A$503,0))="","",INDEX(Sites!$K$4:$K$503,MATCH($B$2,Sites!$A$4:$A$503,0))),"")</f>
        <v/>
      </c>
      <c r="C18" s="82">
        <f>IF(B18="","empty","")</f>
        <v/>
      </c>
      <c r="D18" s="80">
        <f>IFERROR(HYPERLINK("#Sites!K"&amp;(MATCH($B$2,Sites!$A$4:$A$503,0)+3),"Edit"),"")</f>
        <v/>
      </c>
    </row>
    <row r="19" ht="15" customHeight="1" s="62">
      <c r="A19" s="77" t="inlineStr">
        <is>
          <t>summary *</t>
        </is>
      </c>
      <c r="B19" s="78">
        <f>IFERROR(IF(INDEX(Sites!$L$4:$L$503,MATCH($B$2,Sites!$A$4:$A$503,0))="","",INDEX(Sites!$L$4:$L$503,MATCH($B$2,Sites!$A$4:$A$503,0))),"")</f>
        <v/>
      </c>
      <c r="C19" s="79">
        <f>IF(B19="","Required: missing","")</f>
        <v/>
      </c>
      <c r="D19" s="80">
        <f>IFERROR(HYPERLINK("#Sites!L"&amp;(MATCH($B$2,Sites!$A$4:$A$503,0)+3),"Edit"),"")</f>
        <v/>
      </c>
    </row>
    <row r="20" ht="15" customHeight="1" s="62">
      <c r="A20" s="83" t="inlineStr">
        <is>
          <t>ANALOGUE</t>
        </is>
      </c>
      <c r="B20" s="84" t="n"/>
      <c r="C20" s="84" t="n"/>
      <c r="D20" s="84" t="n"/>
    </row>
    <row r="21" ht="15" customHeight="1" s="62">
      <c r="A21" s="77" t="inlineStr">
        <is>
          <t>analogue_for_primary *</t>
        </is>
      </c>
      <c r="B21" s="78">
        <f>IFERROR(IF(INDEX(Sites!$M$4:$M$503,MATCH($B$2,Sites!$A$4:$A$503,0))="","",INDEX(Sites!$M$4:$M$503,MATCH($B$2,Sites!$A$4:$A$503,0))),"")</f>
        <v/>
      </c>
      <c r="C21" s="79">
        <f>IF(B21="","Required: missing","")</f>
        <v/>
      </c>
      <c r="D21" s="80">
        <f>IFERROR(HYPERLINK("#Sites!M"&amp;(MATCH($B$2,Sites!$A$4:$A$503,0)+3),"Edit"),"")</f>
        <v/>
      </c>
    </row>
    <row r="22" ht="15" customHeight="1" s="62">
      <c r="A22" s="81" t="inlineStr">
        <is>
          <t>analogue_for_other</t>
        </is>
      </c>
      <c r="B22" s="78">
        <f>IFERROR(IF(INDEX(Sites!$N$4:$N$503,MATCH($B$2,Sites!$A$4:$A$503,0))="","",INDEX(Sites!$N$4:$N$503,MATCH($B$2,Sites!$A$4:$A$503,0))),"")</f>
        <v/>
      </c>
      <c r="C22" s="82">
        <f>IF(B22="","empty","")</f>
        <v/>
      </c>
      <c r="D22" s="80">
        <f>IFERROR(HYPERLINK("#Sites!N"&amp;(MATCH($B$2,Sites!$A$4:$A$503,0)+3),"Edit"),"")</f>
        <v/>
      </c>
    </row>
    <row r="23" ht="15" customHeight="1" s="62">
      <c r="A23" s="77" t="inlineStr">
        <is>
          <t>analogue_type_primary *</t>
        </is>
      </c>
      <c r="B23" s="78">
        <f>IFERROR(IF(INDEX(Sites!$O$4:$O$503,MATCH($B$2,Sites!$A$4:$A$503,0))="","",INDEX(Sites!$O$4:$O$503,MATCH($B$2,Sites!$A$4:$A$503,0))),"")</f>
        <v/>
      </c>
      <c r="C23" s="79">
        <f>IF(B23="","Required: missing","")</f>
        <v/>
      </c>
      <c r="D23" s="80">
        <f>IFERROR(HYPERLINK("#Sites!O"&amp;(MATCH($B$2,Sites!$A$4:$A$503,0)+3),"Edit"),"")</f>
        <v/>
      </c>
    </row>
    <row r="24" ht="15" customHeight="1" s="62">
      <c r="A24" s="81" t="inlineStr">
        <is>
          <t>analogue_type_other</t>
        </is>
      </c>
      <c r="B24" s="78">
        <f>IFERROR(IF(INDEX(Sites!$P$4:$P$503,MATCH($B$2,Sites!$A$4:$A$503,0))="","",INDEX(Sites!$P$4:$P$503,MATCH($B$2,Sites!$A$4:$A$503,0))),"")</f>
        <v/>
      </c>
      <c r="C24" s="82">
        <f>IF(B24="","empty","")</f>
        <v/>
      </c>
      <c r="D24" s="80">
        <f>IFERROR(HYPERLINK("#Sites!P"&amp;(MATCH($B$2,Sites!$A$4:$A$503,0)+3),"Edit"),"")</f>
        <v/>
      </c>
    </row>
    <row r="25" ht="15" customHeight="1" s="62">
      <c r="A25" s="81" t="inlineStr">
        <is>
          <t>target_feature</t>
        </is>
      </c>
      <c r="B25" s="78">
        <f>IFERROR(IF(INDEX(Sites!$Q$4:$Q$503,MATCH($B$2,Sites!$A$4:$A$503,0))="","",INDEX(Sites!$Q$4:$Q$503,MATCH($B$2,Sites!$A$4:$A$503,0))),"")</f>
        <v/>
      </c>
      <c r="C25" s="82">
        <f>IF(B25="","empty","")</f>
        <v/>
      </c>
      <c r="D25" s="80">
        <f>IFERROR(HYPERLINK("#Sites!Q"&amp;(MATCH($B$2,Sites!$A$4:$A$503,0)+3),"Edit"),"")</f>
        <v/>
      </c>
    </row>
    <row r="26" ht="23.25" customHeight="1" s="62">
      <c r="A26" s="77" t="inlineStr">
        <is>
          <t>science_relevance *</t>
        </is>
      </c>
      <c r="B26" s="78">
        <f>IFERROR(IF(INDEX(Sites!$R$4:$R$503,MATCH($B$2,Sites!$A$4:$A$503,0))="","",INDEX(Sites!$R$4:$R$503,MATCH($B$2,Sites!$A$4:$A$503,0))),"")</f>
        <v/>
      </c>
      <c r="C26" s="79">
        <f>IF(B26="","Required: missing","")</f>
        <v/>
      </c>
      <c r="D26" s="80">
        <f>IFERROR(HYPERLINK("#Sites!R"&amp;(MATCH($B$2,Sites!$A$4:$A$503,0)+3),"Edit"),"")</f>
        <v/>
      </c>
    </row>
    <row r="27" ht="23.25" customHeight="1" s="62">
      <c r="A27" s="81" t="inlineStr">
        <is>
          <t>analogue_limitations</t>
        </is>
      </c>
      <c r="B27" s="78">
        <f>IFERROR(IF(INDEX(Sites!$S$4:$S$503,MATCH($B$2,Sites!$A$4:$A$503,0))="","",INDEX(Sites!$S$4:$S$503,MATCH($B$2,Sites!$A$4:$A$503,0))),"")</f>
        <v/>
      </c>
      <c r="C27" s="82">
        <f>IF(B27="","empty","")</f>
        <v/>
      </c>
      <c r="D27" s="80">
        <f>IFERROR(HYPERLINK("#Sites!S"&amp;(MATCH($B$2,Sites!$A$4:$A$503,0)+3),"Edit"),"")</f>
        <v/>
      </c>
    </row>
    <row r="28" ht="15" customHeight="1" s="62">
      <c r="A28" s="85" t="inlineStr">
        <is>
          <t>GEOLOGY</t>
        </is>
      </c>
      <c r="B28" s="86" t="n"/>
      <c r="C28" s="86" t="n"/>
      <c r="D28" s="86" t="n"/>
    </row>
    <row r="29" ht="15" customHeight="1" s="62">
      <c r="A29" s="81" t="inlineStr">
        <is>
          <t>geological_setting</t>
        </is>
      </c>
      <c r="B29" s="78">
        <f>IFERROR(IF(INDEX(Sites!$T$4:$T$503,MATCH($B$2,Sites!$A$4:$A$503,0))="","",INDEX(Sites!$T$4:$T$503,MATCH($B$2,Sites!$A$4:$A$503,0))),"")</f>
        <v/>
      </c>
      <c r="C29" s="82">
        <f>IF(B29="","empty","")</f>
        <v/>
      </c>
      <c r="D29" s="80">
        <f>IFERROR(HYPERLINK("#Sites!T"&amp;(MATCH($B$2,Sites!$A$4:$A$503,0)+3),"Edit"),"")</f>
        <v/>
      </c>
    </row>
    <row r="30" ht="15" customHeight="1" s="62">
      <c r="A30" s="81" t="inlineStr">
        <is>
          <t>rock_types</t>
        </is>
      </c>
      <c r="B30" s="78">
        <f>IFERROR(IF(INDEX(Sites!$U$4:$U$503,MATCH($B$2,Sites!$A$4:$A$503,0))="","",INDEX(Sites!$U$4:$U$503,MATCH($B$2,Sites!$A$4:$A$503,0))),"")</f>
        <v/>
      </c>
      <c r="C30" s="82">
        <f>IF(B30="","empty","")</f>
        <v/>
      </c>
      <c r="D30" s="80">
        <f>IFERROR(HYPERLINK("#Sites!U"&amp;(MATCH($B$2,Sites!$A$4:$A$503,0)+3),"Edit"),"")</f>
        <v/>
      </c>
    </row>
    <row r="31" ht="15" customHeight="1" s="62">
      <c r="A31" s="81" t="inlineStr">
        <is>
          <t>key_minerals</t>
        </is>
      </c>
      <c r="B31" s="78">
        <f>IFERROR(IF(INDEX(Sites!$V$4:$V$503,MATCH($B$2,Sites!$A$4:$A$503,0))="","",INDEX(Sites!$V$4:$V$503,MATCH($B$2,Sites!$A$4:$A$503,0))),"")</f>
        <v/>
      </c>
      <c r="C31" s="82">
        <f>IF(B31="","empty","")</f>
        <v/>
      </c>
      <c r="D31" s="80">
        <f>IFERROR(HYPERLINK("#Sites!V"&amp;(MATCH($B$2,Sites!$A$4:$A$503,0)+3),"Edit"),"")</f>
        <v/>
      </c>
    </row>
    <row r="32" ht="15" customHeight="1" s="62">
      <c r="A32" s="81" t="inlineStr">
        <is>
          <t>age</t>
        </is>
      </c>
      <c r="B32" s="78">
        <f>IFERROR(IF(INDEX(Sites!$W$4:$W$503,MATCH($B$2,Sites!$A$4:$A$503,0))="","",INDEX(Sites!$W$4:$W$503,MATCH($B$2,Sites!$A$4:$A$503,0))),"")</f>
        <v/>
      </c>
      <c r="C32" s="82">
        <f>IF(B32="","empty","")</f>
        <v/>
      </c>
      <c r="D32" s="80">
        <f>IFERROR(HYPERLINK("#Sites!W"&amp;(MATCH($B$2,Sites!$A$4:$A$503,0)+3),"Edit"),"")</f>
        <v/>
      </c>
    </row>
    <row r="33" ht="15" customHeight="1" s="62">
      <c r="A33" s="87" t="inlineStr">
        <is>
          <t>ENVIRONMENT</t>
        </is>
      </c>
      <c r="B33" s="88" t="n"/>
      <c r="C33" s="88" t="n"/>
      <c r="D33" s="88" t="n"/>
    </row>
    <row r="34" ht="15" customHeight="1" s="62">
      <c r="A34" s="77" t="inlineStr">
        <is>
          <t>environment_type_primary *</t>
        </is>
      </c>
      <c r="B34" s="78">
        <f>IFERROR(IF(INDEX(Sites!$X$4:$X$503,MATCH($B$2,Sites!$A$4:$A$503,0))="","",INDEX(Sites!$X$4:$X$503,MATCH($B$2,Sites!$A$4:$A$503,0))),"")</f>
        <v/>
      </c>
      <c r="C34" s="79">
        <f>IF(B34="","Required: missing","")</f>
        <v/>
      </c>
      <c r="D34" s="80">
        <f>IFERROR(HYPERLINK("#Sites!X"&amp;(MATCH($B$2,Sites!$A$4:$A$503,0)+3),"Edit"),"")</f>
        <v/>
      </c>
    </row>
    <row r="35" ht="15" customHeight="1" s="62">
      <c r="A35" s="81" t="inlineStr">
        <is>
          <t>environment_type_other</t>
        </is>
      </c>
      <c r="B35" s="78">
        <f>IFERROR(IF(INDEX(Sites!$Y$4:$Y$503,MATCH($B$2,Sites!$A$4:$A$503,0))="","",INDEX(Sites!$Y$4:$Y$503,MATCH($B$2,Sites!$A$4:$A$503,0))),"")</f>
        <v/>
      </c>
      <c r="C35" s="82">
        <f>IF(B35="","empty","")</f>
        <v/>
      </c>
      <c r="D35" s="80">
        <f>IFERROR(HYPERLINK("#Sites!Y"&amp;(MATCH($B$2,Sites!$A$4:$A$503,0)+3),"Edit"),"")</f>
        <v/>
      </c>
    </row>
    <row r="36" ht="15" customHeight="1" s="62">
      <c r="A36" s="81" t="inlineStr">
        <is>
          <t>ph_min</t>
        </is>
      </c>
      <c r="B36" s="78">
        <f>IFERROR(IF(INDEX(Sites!$Z$4:$Z$503,MATCH($B$2,Sites!$A$4:$A$503,0))="","",INDEX(Sites!$Z$4:$Z$503,MATCH($B$2,Sites!$A$4:$A$503,0))),"")</f>
        <v/>
      </c>
      <c r="C36" s="82">
        <f>IF(B36="","empty","")</f>
        <v/>
      </c>
      <c r="D36" s="80">
        <f>IFERROR(HYPERLINK("#Sites!Z"&amp;(MATCH($B$2,Sites!$A$4:$A$503,0)+3),"Edit"),"")</f>
        <v/>
      </c>
    </row>
    <row r="37" ht="15" customHeight="1" s="62">
      <c r="A37" s="81" t="inlineStr">
        <is>
          <t>ph_max</t>
        </is>
      </c>
      <c r="B37" s="78">
        <f>IFERROR(IF(INDEX(Sites!$AA$4:$AA$503,MATCH($B$2,Sites!$A$4:$A$503,0))="","",INDEX(Sites!$AA$4:$AA$503,MATCH($B$2,Sites!$A$4:$A$503,0))),"")</f>
        <v/>
      </c>
      <c r="C37" s="82">
        <f>IF(B37="","empty","")</f>
        <v/>
      </c>
      <c r="D37" s="80">
        <f>IFERROR(HYPERLINK("#Sites!AA"&amp;(MATCH($B$2,Sites!$A$4:$A$503,0)+3),"Edit"),"")</f>
        <v/>
      </c>
    </row>
    <row r="38" ht="15" customHeight="1" s="62">
      <c r="A38" s="81" t="inlineStr">
        <is>
          <t>temp_min_c</t>
        </is>
      </c>
      <c r="B38" s="78">
        <f>IFERROR(IF(INDEX(Sites!$AB$4:$AB$503,MATCH($B$2,Sites!$A$4:$A$503,0))="","",INDEX(Sites!$AB$4:$AB$503,MATCH($B$2,Sites!$A$4:$A$503,0))),"")</f>
        <v/>
      </c>
      <c r="C38" s="82">
        <f>IF(B38="","empty","")</f>
        <v/>
      </c>
      <c r="D38" s="80">
        <f>IFERROR(HYPERLINK("#Sites!AB"&amp;(MATCH($B$2,Sites!$A$4:$A$503,0)+3),"Edit"),"")</f>
        <v/>
      </c>
    </row>
    <row r="39" ht="15" customHeight="1" s="62">
      <c r="A39" s="81" t="inlineStr">
        <is>
          <t>temp_max_c</t>
        </is>
      </c>
      <c r="B39" s="78">
        <f>IFERROR(IF(INDEX(Sites!$AC$4:$AC$503,MATCH($B$2,Sites!$A$4:$A$503,0))="","",INDEX(Sites!$AC$4:$AC$503,MATCH($B$2,Sites!$A$4:$A$503,0))),"")</f>
        <v/>
      </c>
      <c r="C39" s="82">
        <f>IF(B39="","empty","")</f>
        <v/>
      </c>
      <c r="D39" s="80">
        <f>IFERROR(HYPERLINK("#Sites!AC"&amp;(MATCH($B$2,Sites!$A$4:$A$503,0)+3),"Edit"),"")</f>
        <v/>
      </c>
    </row>
    <row r="40" ht="15" customHeight="1" s="62">
      <c r="A40" s="81" t="inlineStr">
        <is>
          <t>salinity</t>
        </is>
      </c>
      <c r="B40" s="78">
        <f>IFERROR(IF(INDEX(Sites!$AD$4:$AD$503,MATCH($B$2,Sites!$A$4:$A$503,0))="","",INDEX(Sites!$AD$4:$AD$503,MATCH($B$2,Sites!$A$4:$A$503,0))),"")</f>
        <v/>
      </c>
      <c r="C40" s="82">
        <f>IF(B40="","empty","")</f>
        <v/>
      </c>
      <c r="D40" s="80">
        <f>IFERROR(HYPERLINK("#Sites!AD"&amp;(MATCH($B$2,Sites!$A$4:$A$503,0)+3),"Edit"),"")</f>
        <v/>
      </c>
    </row>
    <row r="41" ht="15" customHeight="1" s="62">
      <c r="A41" s="81" t="inlineStr">
        <is>
          <t>altitude_min_m</t>
        </is>
      </c>
      <c r="B41" s="78">
        <f>IFERROR(IF(INDEX(Sites!$AE$4:$AE$503,MATCH($B$2,Sites!$A$4:$A$503,0))="","",INDEX(Sites!$AE$4:$AE$503,MATCH($B$2,Sites!$A$4:$A$503,0))),"")</f>
        <v/>
      </c>
      <c r="C41" s="82">
        <f>IF(B41="","empty","")</f>
        <v/>
      </c>
      <c r="D41" s="80">
        <f>IFERROR(HYPERLINK("#Sites!AE"&amp;(MATCH($B$2,Sites!$A$4:$A$503,0)+3),"Edit"),"")</f>
        <v/>
      </c>
    </row>
    <row r="42" ht="15" customHeight="1" s="62">
      <c r="A42" s="81" t="inlineStr">
        <is>
          <t>altitude_max_m</t>
        </is>
      </c>
      <c r="B42" s="78">
        <f>IFERROR(IF(INDEX(Sites!$AF$4:$AF$503,MATCH($B$2,Sites!$A$4:$A$503,0))="","",INDEX(Sites!$AF$4:$AF$503,MATCH($B$2,Sites!$A$4:$A$503,0))),"")</f>
        <v/>
      </c>
      <c r="C42" s="82">
        <f>IF(B42="","empty","")</f>
        <v/>
      </c>
      <c r="D42" s="80">
        <f>IFERROR(HYPERLINK("#Sites!AF"&amp;(MATCH($B$2,Sites!$A$4:$A$503,0)+3),"Edit"),"")</f>
        <v/>
      </c>
    </row>
    <row r="43" ht="15" customHeight="1" s="62">
      <c r="A43" s="81" t="inlineStr">
        <is>
          <t>biology_present</t>
        </is>
      </c>
      <c r="B43" s="78">
        <f>IFERROR(IF(INDEX(Sites!$AG$4:$AG$503,MATCH($B$2,Sites!$A$4:$A$503,0))="","",INDEX(Sites!$AG$4:$AG$503,MATCH($B$2,Sites!$A$4:$A$503,0))),"")</f>
        <v/>
      </c>
      <c r="C43" s="82">
        <f>IF(B43="","empty","")</f>
        <v/>
      </c>
      <c r="D43" s="80">
        <f>IFERROR(HYPERLINK("#Sites!AG"&amp;(MATCH($B$2,Sites!$A$4:$A$503,0)+3),"Edit"),"")</f>
        <v/>
      </c>
    </row>
    <row r="44" ht="15" customHeight="1" s="62">
      <c r="A44" s="81" t="inlineStr">
        <is>
          <t>notable_organisms</t>
        </is>
      </c>
      <c r="B44" s="78">
        <f>IFERROR(IF(INDEX(Sites!$AH$4:$AH$503,MATCH($B$2,Sites!$A$4:$A$503,0))="","",INDEX(Sites!$AH$4:$AH$503,MATCH($B$2,Sites!$A$4:$A$503,0))),"")</f>
        <v/>
      </c>
      <c r="C44" s="82">
        <f>IF(B44="","empty","")</f>
        <v/>
      </c>
      <c r="D44" s="80">
        <f>IFERROR(HYPERLINK("#Sites!AH"&amp;(MATCH($B$2,Sites!$A$4:$A$503,0)+3),"Edit"),"")</f>
        <v/>
      </c>
    </row>
    <row r="45" ht="15" customHeight="1" s="62">
      <c r="A45" s="89" t="inlineStr">
        <is>
          <t>ACCESS</t>
        </is>
      </c>
      <c r="B45" s="90" t="n"/>
      <c r="C45" s="90" t="n"/>
      <c r="D45" s="90" t="n"/>
    </row>
    <row r="46" ht="15" customHeight="1" s="62">
      <c r="A46" s="77" t="inlineStr">
        <is>
          <t>access_level *</t>
        </is>
      </c>
      <c r="B46" s="78">
        <f>IFERROR(IF(INDEX(Sites!$AI$4:$AI$503,MATCH($B$2,Sites!$A$4:$A$503,0))="","",INDEX(Sites!$AI$4:$AI$503,MATCH($B$2,Sites!$A$4:$A$503,0))),"")</f>
        <v/>
      </c>
      <c r="C46" s="79">
        <f>IF(B46="","Required: missing","")</f>
        <v/>
      </c>
      <c r="D46" s="80">
        <f>IFERROR(HYPERLINK("#Sites!AI"&amp;(MATCH($B$2,Sites!$A$4:$A$503,0)+3),"Edit"),"")</f>
        <v/>
      </c>
    </row>
    <row r="47" ht="15" customHeight="1" s="62">
      <c r="A47" s="77" t="inlineStr">
        <is>
          <t>permits_required *</t>
        </is>
      </c>
      <c r="B47" s="78">
        <f>IFERROR(IF(INDEX(Sites!$AJ$4:$AJ$503,MATCH($B$2,Sites!$A$4:$A$503,0))="","",INDEX(Sites!$AJ$4:$AJ$503,MATCH($B$2,Sites!$A$4:$A$503,0))),"")</f>
        <v/>
      </c>
      <c r="C47" s="79">
        <f>IF(B47="","Required: missing","")</f>
        <v/>
      </c>
      <c r="D47" s="80">
        <f>IFERROR(HYPERLINK("#Sites!AJ"&amp;(MATCH($B$2,Sites!$A$4:$A$503,0)+3),"Edit"),"")</f>
        <v/>
      </c>
    </row>
    <row r="48" ht="15" customHeight="1" s="62">
      <c r="A48" s="81" t="inlineStr">
        <is>
          <t>permit_authority</t>
        </is>
      </c>
      <c r="B48" s="78">
        <f>IFERROR(IF(INDEX(Sites!$AK$4:$AK$503,MATCH($B$2,Sites!$A$4:$A$503,0))="","",INDEX(Sites!$AK$4:$AK$503,MATCH($B$2,Sites!$A$4:$A$503,0))),"")</f>
        <v/>
      </c>
      <c r="C48" s="82">
        <f>IF(B48="","empty","")</f>
        <v/>
      </c>
      <c r="D48" s="80">
        <f>IFERROR(HYPERLINK("#Sites!AK"&amp;(MATCH($B$2,Sites!$A$4:$A$503,0)+3),"Edit"),"")</f>
        <v/>
      </c>
    </row>
    <row r="49" ht="15" customHeight="1" s="62">
      <c r="A49" s="81" t="inlineStr">
        <is>
          <t>land_status</t>
        </is>
      </c>
      <c r="B49" s="78">
        <f>IFERROR(IF(INDEX(Sites!$AL$4:$AL$503,MATCH($B$2,Sites!$A$4:$A$503,0))="","",INDEX(Sites!$AL$4:$AL$503,MATCH($B$2,Sites!$A$4:$A$503,0))),"")</f>
        <v/>
      </c>
      <c r="C49" s="82">
        <f>IF(B49="","empty","")</f>
        <v/>
      </c>
      <c r="D49" s="80">
        <f>IFERROR(HYPERLINK("#Sites!AL"&amp;(MATCH($B$2,Sites!$A$4:$A$503,0)+3),"Edit"),"")</f>
        <v/>
      </c>
    </row>
    <row r="50" ht="15" customHeight="1" s="62">
      <c r="A50" s="81" t="inlineStr">
        <is>
          <t>nearest_town</t>
        </is>
      </c>
      <c r="B50" s="78">
        <f>IFERROR(IF(INDEX(Sites!$AM$4:$AM$503,MATCH($B$2,Sites!$A$4:$A$503,0))="","",INDEX(Sites!$AM$4:$AM$503,MATCH($B$2,Sites!$A$4:$A$503,0))),"")</f>
        <v/>
      </c>
      <c r="C50" s="82">
        <f>IF(B50="","empty","")</f>
        <v/>
      </c>
      <c r="D50" s="80">
        <f>IFERROR(HYPERLINK("#Sites!AM"&amp;(MATCH($B$2,Sites!$A$4:$A$503,0)+3),"Edit"),"")</f>
        <v/>
      </c>
    </row>
    <row r="51" ht="15" customHeight="1" s="62">
      <c r="A51" s="81" t="inlineStr">
        <is>
          <t>best_season</t>
        </is>
      </c>
      <c r="B51" s="78">
        <f>IFERROR(IF(INDEX(Sites!$AN$4:$AN$503,MATCH($B$2,Sites!$A$4:$A$503,0))="","",INDEX(Sites!$AN$4:$AN$503,MATCH($B$2,Sites!$A$4:$A$503,0))),"")</f>
        <v/>
      </c>
      <c r="C51" s="82">
        <f>IF(B51="","empty","")</f>
        <v/>
      </c>
      <c r="D51" s="80">
        <f>IFERROR(HYPERLINK("#Sites!AN"&amp;(MATCH($B$2,Sites!$A$4:$A$503,0)+3),"Edit"),"")</f>
        <v/>
      </c>
    </row>
    <row r="52" ht="15" customHeight="1" s="62">
      <c r="A52" s="81" t="inlineStr">
        <is>
          <t>transport_notes</t>
        </is>
      </c>
      <c r="B52" s="78">
        <f>IFERROR(IF(INDEX(Sites!$AO$4:$AO$503,MATCH($B$2,Sites!$A$4:$A$503,0))="","",INDEX(Sites!$AO$4:$AO$503,MATCH($B$2,Sites!$A$4:$A$503,0))),"")</f>
        <v/>
      </c>
      <c r="C52" s="82">
        <f>IF(B52="","empty","")</f>
        <v/>
      </c>
      <c r="D52" s="80">
        <f>IFERROR(HYPERLINK("#Sites!AO"&amp;(MATCH($B$2,Sites!$A$4:$A$503,0)+3),"Edit"),"")</f>
        <v/>
      </c>
    </row>
    <row r="53" ht="15" customHeight="1" s="62">
      <c r="A53" s="81" t="inlineStr">
        <is>
          <t>sampling_rules</t>
        </is>
      </c>
      <c r="B53" s="78">
        <f>IFERROR(IF(INDEX(Sites!$AP$4:$AP$503,MATCH($B$2,Sites!$A$4:$A$503,0))="","",INDEX(Sites!$AP$4:$AP$503,MATCH($B$2,Sites!$A$4:$A$503,0))),"")</f>
        <v/>
      </c>
      <c r="C53" s="82">
        <f>IF(B53="","empty","")</f>
        <v/>
      </c>
      <c r="D53" s="80">
        <f>IFERROR(HYPERLINK("#Sites!AP"&amp;(MATCH($B$2,Sites!$A$4:$A$503,0)+3),"Edit"),"")</f>
        <v/>
      </c>
    </row>
    <row r="54" ht="15" customHeight="1" s="62">
      <c r="A54" s="91" t="inlineStr">
        <is>
          <t>SAFETY</t>
        </is>
      </c>
      <c r="B54" s="92" t="n"/>
      <c r="C54" s="92" t="n"/>
      <c r="D54" s="92" t="n"/>
    </row>
    <row r="55" ht="15" customHeight="1" s="62">
      <c r="A55" s="77" t="inlineStr">
        <is>
          <t>hazard_rating *</t>
        </is>
      </c>
      <c r="B55" s="78">
        <f>IFERROR(IF(INDEX(Sites!$AQ$4:$AQ$503,MATCH($B$2,Sites!$A$4:$A$503,0))="","",INDEX(Sites!$AQ$4:$AQ$503,MATCH($B$2,Sites!$A$4:$A$503,0))),"")</f>
        <v/>
      </c>
      <c r="C55" s="79">
        <f>IF(B55="","Required: missing","")</f>
        <v/>
      </c>
      <c r="D55" s="80">
        <f>IFERROR(HYPERLINK("#Sites!AQ"&amp;(MATCH($B$2,Sites!$A$4:$A$503,0)+3),"Edit"),"")</f>
        <v/>
      </c>
    </row>
    <row r="56" ht="15" customHeight="1" s="62">
      <c r="A56" s="77" t="inlineStr">
        <is>
          <t>hazards *</t>
        </is>
      </c>
      <c r="B56" s="78">
        <f>IFERROR(IF(INDEX(Sites!$AR$4:$AR$503,MATCH($B$2,Sites!$A$4:$A$503,0))="","",INDEX(Sites!$AR$4:$AR$503,MATCH($B$2,Sites!$A$4:$A$503,0))),"")</f>
        <v/>
      </c>
      <c r="C56" s="79">
        <f>IF(B56="","Required: missing","")</f>
        <v/>
      </c>
      <c r="D56" s="80">
        <f>IFERROR(HYPERLINK("#Sites!AR"&amp;(MATCH($B$2,Sites!$A$4:$A$503,0)+3),"Edit"),"")</f>
        <v/>
      </c>
    </row>
    <row r="57" ht="15" customHeight="1" s="62">
      <c r="A57" s="81" t="inlineStr">
        <is>
          <t>safety_notes</t>
        </is>
      </c>
      <c r="B57" s="78">
        <f>IFERROR(IF(INDEX(Sites!$AS$4:$AS$503,MATCH($B$2,Sites!$A$4:$A$503,0))="","",INDEX(Sites!$AS$4:$AS$503,MATCH($B$2,Sites!$A$4:$A$503,0))),"")</f>
        <v/>
      </c>
      <c r="C57" s="82">
        <f>IF(B57="","empty","")</f>
        <v/>
      </c>
      <c r="D57" s="80">
        <f>IFERROR(HYPERLINK("#Sites!AS"&amp;(MATCH($B$2,Sites!$A$4:$A$503,0)+3),"Edit"),"")</f>
        <v/>
      </c>
    </row>
    <row r="58" ht="15" customHeight="1" s="62">
      <c r="A58" s="77" t="inlineStr">
        <is>
          <t>rating_last_reviewed *</t>
        </is>
      </c>
      <c r="B58" s="93">
        <f>IFERROR(IF(INDEX(Sites!$AT$4:$AT$503,MATCH($B$2,Sites!$A$4:$A$503,0))="","",INDEX(Sites!$AT$4:$AT$503,MATCH($B$2,Sites!$A$4:$A$503,0))),"")</f>
        <v/>
      </c>
      <c r="C58" s="79">
        <f>IF(B58="","Required: missing","")</f>
        <v/>
      </c>
      <c r="D58" s="80">
        <f>IFERROR(HYPERLINK("#Sites!AT"&amp;(MATCH($B$2,Sites!$A$4:$A$503,0)+3),"Edit"),"")</f>
        <v/>
      </c>
    </row>
    <row r="59" ht="15" customHeight="1" s="62">
      <c r="A59" s="94" t="inlineStr">
        <is>
          <t>PROVENANCE</t>
        </is>
      </c>
      <c r="B59" s="95" t="n"/>
      <c r="C59" s="95" t="n"/>
      <c r="D59" s="95" t="n"/>
    </row>
    <row r="60" ht="15" customHeight="1" s="62">
      <c r="A60" s="77" t="inlineStr">
        <is>
          <t>contributors *</t>
        </is>
      </c>
      <c r="B60" s="78">
        <f>IFERROR(IF(INDEX(Sites!$AU$4:$AU$503,MATCH($B$2,Sites!$A$4:$A$503,0))="","",INDEX(Sites!$AU$4:$AU$503,MATCH($B$2,Sites!$A$4:$A$503,0))),"")</f>
        <v/>
      </c>
      <c r="C60" s="79">
        <f>IF(B60="","Required: missing","")</f>
        <v/>
      </c>
      <c r="D60" s="80">
        <f>IFERROR(HYPERLINK("#Sites!AU"&amp;(MATCH($B$2,Sites!$A$4:$A$503,0)+3),"Edit"),"")</f>
        <v/>
      </c>
    </row>
    <row r="61" ht="15" customHeight="1" s="62">
      <c r="A61" s="77" t="inlineStr">
        <is>
          <t>date_added *</t>
        </is>
      </c>
      <c r="B61" s="93">
        <f>IFERROR(IF(INDEX(Sites!$AV$4:$AV$503,MATCH($B$2,Sites!$A$4:$A$503,0))="","",INDEX(Sites!$AV$4:$AV$503,MATCH($B$2,Sites!$A$4:$A$503,0))),"")</f>
        <v/>
      </c>
      <c r="C61" s="79">
        <f>IF(B61="","Required: missing","")</f>
        <v/>
      </c>
      <c r="D61" s="80">
        <f>IFERROR(HYPERLINK("#Sites!AV"&amp;(MATCH($B$2,Sites!$A$4:$A$503,0)+3),"Edit"),"")</f>
        <v/>
      </c>
    </row>
    <row r="62" ht="15" customHeight="1" s="62">
      <c r="A62" s="81" t="inlineStr">
        <is>
          <t>last_verified</t>
        </is>
      </c>
      <c r="B62" s="93">
        <f>IFERROR(IF(INDEX(Sites!$AW$4:$AW$503,MATCH($B$2,Sites!$A$4:$A$503,0))="","",INDEX(Sites!$AW$4:$AW$503,MATCH($B$2,Sites!$A$4:$A$503,0))),"")</f>
        <v/>
      </c>
      <c r="C62" s="82">
        <f>IF(B62="","empty","")</f>
        <v/>
      </c>
      <c r="D62" s="80">
        <f>IFERROR(HYPERLINK("#Sites!AW"&amp;(MATCH($B$2,Sites!$A$4:$A$503,0)+3),"Edit"),"")</f>
        <v/>
      </c>
    </row>
    <row r="63" ht="15" customHeight="1" s="62">
      <c r="A63" s="77" t="inlineStr">
        <is>
          <t>review_status *</t>
        </is>
      </c>
      <c r="B63" s="78">
        <f>IFERROR(IF(INDEX(Sites!$AX$4:$AX$503,MATCH($B$2,Sites!$A$4:$A$503,0))="","",INDEX(Sites!$AX$4:$AX$503,MATCH($B$2,Sites!$A$4:$A$503,0))),"")</f>
        <v/>
      </c>
      <c r="C63" s="79">
        <f>IF(B63="","Required: missing","")</f>
        <v/>
      </c>
      <c r="D63" s="80">
        <f>IFERROR(HYPERLINK("#Sites!AX"&amp;(MATCH($B$2,Sites!$A$4:$A$503,0)+3),"Edit"),"")</f>
        <v/>
      </c>
    </row>
    <row r="64" ht="23.25" customHeight="1" s="62">
      <c r="A64" s="81" t="inlineStr">
        <is>
          <t>notes_for_reviewer</t>
        </is>
      </c>
      <c r="B64" s="78">
        <f>IFERROR(IF(INDEX(Sites!$AY$4:$AY$503,MATCH($B$2,Sites!$A$4:$A$503,0))="","",INDEX(Sites!$AY$4:$AY$503,MATCH($B$2,Sites!$A$4:$A$503,0))),"")</f>
        <v/>
      </c>
      <c r="C64" s="82">
        <f>IF(B64="","empty","")</f>
        <v/>
      </c>
      <c r="D64" s="80">
        <f>IFERROR(HYPERLINK("#Sites!AY"&amp;(MATCH($B$2,Sites!$A$4:$A$503,0)+3),"Edit"),"")</f>
        <v/>
      </c>
    </row>
  </sheetData>
  <dataValidations count="1">
    <dataValidation sqref="B2" showDropDown="0" showInputMessage="0" showErrorMessage="1" allowBlank="0" error="Pick an id from the list." type="list" errorStyle="stop" operator="between">
      <formula1>Sites!$A$4:$A$503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B503"/>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26" customWidth="1" style="61" min="1" max="1"/>
    <col width="30" customWidth="1" style="61" min="2" max="2"/>
    <col outlineLevel="1" width="18" customWidth="1" style="61" min="3" max="19"/>
    <col outlineLevel="1" width="22" customWidth="1" style="61" min="20" max="23"/>
    <col outlineLevel="1" width="13" customWidth="1" style="61" min="24" max="34"/>
    <col outlineLevel="1" width="9" customWidth="1" style="61" min="35" max="46"/>
    <col outlineLevel="1" width="22" customWidth="1" style="61" min="47" max="51"/>
    <col width="11" customWidth="1" style="61" min="52" max="53"/>
    <col width="14" customWidth="1" style="61" min="54" max="54"/>
  </cols>
  <sheetData>
    <row r="1" ht="19.5" customHeight="1" s="62">
      <c r="A1" s="96" t="inlineStr">
        <is>
          <t>IDENTITY</t>
        </is>
      </c>
      <c r="M1" s="97" t="inlineStr">
        <is>
          <t>ANALOGUE</t>
        </is>
      </c>
      <c r="T1" s="98" t="inlineStr">
        <is>
          <t>GEOLOGY</t>
        </is>
      </c>
      <c r="X1" s="99" t="inlineStr">
        <is>
          <t>ENVIRONMENT</t>
        </is>
      </c>
      <c r="AI1" s="100" t="inlineStr">
        <is>
          <t>ACCESS</t>
        </is>
      </c>
      <c r="AQ1" s="101" t="inlineStr">
        <is>
          <t>SAFETY</t>
        </is>
      </c>
      <c r="AU1" s="102" t="inlineStr">
        <is>
          <t>PROVENANCE</t>
        </is>
      </c>
      <c r="AZ1" s="103" t="inlineStr">
        <is>
          <t>CHECKS (AUTOMATIC)</t>
        </is>
      </c>
    </row>
    <row r="2" ht="30" customHeight="1" s="62">
      <c r="A2" s="104" t="inlineStr">
        <is>
          <t>id *</t>
        </is>
      </c>
      <c r="B2" s="104" t="inlineStr">
        <is>
          <t>name *</t>
        </is>
      </c>
      <c r="C2" s="104" t="inlineStr">
        <is>
          <t>alt_names</t>
        </is>
      </c>
      <c r="D2" s="104" t="inlineStr">
        <is>
          <t>country *</t>
        </is>
      </c>
      <c r="E2" s="104" t="inlineStr">
        <is>
          <t>country_code</t>
        </is>
      </c>
      <c r="F2" s="104" t="inlineStr">
        <is>
          <t>region</t>
        </is>
      </c>
      <c r="G2" s="104" t="inlineStr">
        <is>
          <t>latitude *</t>
        </is>
      </c>
      <c r="H2" s="104" t="inlineStr">
        <is>
          <t>longitude *</t>
        </is>
      </c>
      <c r="I2" s="104" t="inlineStr">
        <is>
          <t>coordinate_precision *</t>
        </is>
      </c>
      <c r="J2" s="104" t="inlineStr">
        <is>
          <t>sensitive_site *</t>
        </is>
      </c>
      <c r="K2" s="104" t="inlineStr">
        <is>
          <t>extent_km2</t>
        </is>
      </c>
      <c r="L2" s="104" t="inlineStr">
        <is>
          <t>summary *</t>
        </is>
      </c>
      <c r="M2" s="104" t="inlineStr">
        <is>
          <t>analogue_for_primary *</t>
        </is>
      </c>
      <c r="N2" s="104" t="inlineStr">
        <is>
          <t>analogue_for_other</t>
        </is>
      </c>
      <c r="O2" s="104" t="inlineStr">
        <is>
          <t>analogue_type_primary *</t>
        </is>
      </c>
      <c r="P2" s="104" t="inlineStr">
        <is>
          <t>analogue_type_other</t>
        </is>
      </c>
      <c r="Q2" s="104" t="inlineStr">
        <is>
          <t>target_feature</t>
        </is>
      </c>
      <c r="R2" s="104" t="inlineStr">
        <is>
          <t>science_relevance *</t>
        </is>
      </c>
      <c r="S2" s="104" t="inlineStr">
        <is>
          <t>analogue_limitations</t>
        </is>
      </c>
      <c r="T2" s="104" t="inlineStr">
        <is>
          <t>geological_setting</t>
        </is>
      </c>
      <c r="U2" s="104" t="inlineStr">
        <is>
          <t>rock_types</t>
        </is>
      </c>
      <c r="V2" s="104" t="inlineStr">
        <is>
          <t>key_minerals</t>
        </is>
      </c>
      <c r="W2" s="104" t="inlineStr">
        <is>
          <t>age</t>
        </is>
      </c>
      <c r="X2" s="104" t="inlineStr">
        <is>
          <t>environment_type_primary *</t>
        </is>
      </c>
      <c r="Y2" s="104" t="inlineStr">
        <is>
          <t>environment_type_other</t>
        </is>
      </c>
      <c r="Z2" s="104" t="inlineStr">
        <is>
          <t>ph_min</t>
        </is>
      </c>
      <c r="AA2" s="104" t="inlineStr">
        <is>
          <t>ph_max</t>
        </is>
      </c>
      <c r="AB2" s="104" t="inlineStr">
        <is>
          <t>temp_min_c</t>
        </is>
      </c>
      <c r="AC2" s="104" t="inlineStr">
        <is>
          <t>temp_max_c</t>
        </is>
      </c>
      <c r="AD2" s="104" t="inlineStr">
        <is>
          <t>salinity</t>
        </is>
      </c>
      <c r="AE2" s="104" t="inlineStr">
        <is>
          <t>altitude_min_m</t>
        </is>
      </c>
      <c r="AF2" s="104" t="inlineStr">
        <is>
          <t>altitude_max_m</t>
        </is>
      </c>
      <c r="AG2" s="104" t="inlineStr">
        <is>
          <t>biology_present</t>
        </is>
      </c>
      <c r="AH2" s="104" t="inlineStr">
        <is>
          <t>notable_organisms</t>
        </is>
      </c>
      <c r="AI2" s="104" t="inlineStr">
        <is>
          <t>access_level *</t>
        </is>
      </c>
      <c r="AJ2" s="104" t="inlineStr">
        <is>
          <t>permits_required *</t>
        </is>
      </c>
      <c r="AK2" s="104" t="inlineStr">
        <is>
          <t>permit_authority</t>
        </is>
      </c>
      <c r="AL2" s="104" t="inlineStr">
        <is>
          <t>land_status</t>
        </is>
      </c>
      <c r="AM2" s="104" t="inlineStr">
        <is>
          <t>nearest_town</t>
        </is>
      </c>
      <c r="AN2" s="104" t="inlineStr">
        <is>
          <t>best_season</t>
        </is>
      </c>
      <c r="AO2" s="104" t="inlineStr">
        <is>
          <t>transport_notes</t>
        </is>
      </c>
      <c r="AP2" s="104" t="inlineStr">
        <is>
          <t>sampling_rules</t>
        </is>
      </c>
      <c r="AQ2" s="104" t="inlineStr">
        <is>
          <t>hazard_rating *</t>
        </is>
      </c>
      <c r="AR2" s="104" t="inlineStr">
        <is>
          <t>hazards *</t>
        </is>
      </c>
      <c r="AS2" s="104" t="inlineStr">
        <is>
          <t>safety_notes</t>
        </is>
      </c>
      <c r="AT2" s="104" t="inlineStr">
        <is>
          <t>rating_last_reviewed *</t>
        </is>
      </c>
      <c r="AU2" s="104" t="inlineStr">
        <is>
          <t>contributors *</t>
        </is>
      </c>
      <c r="AV2" s="104" t="inlineStr">
        <is>
          <t>date_added *</t>
        </is>
      </c>
      <c r="AW2" s="104" t="inlineStr">
        <is>
          <t>last_verified</t>
        </is>
      </c>
      <c r="AX2" s="104" t="inlineStr">
        <is>
          <t>review_status *</t>
        </is>
      </c>
      <c r="AY2" s="104" t="inlineStr">
        <is>
          <t>notes_for_reviewer</t>
        </is>
      </c>
      <c r="AZ2" s="104" t="inlineStr">
        <is>
          <t>reference_count</t>
        </is>
      </c>
      <c r="BA2" s="104" t="inlineStr">
        <is>
          <t>required_missing</t>
        </is>
      </c>
      <c r="BB2" s="104" t="inlineStr">
        <is>
          <t>entry_check</t>
        </is>
      </c>
    </row>
    <row r="3" ht="39.75" customHeight="1" s="62">
      <c r="A3" s="105" t="inlineStr">
        <is>
          <t>Short unique slug: site-name-countrycode</t>
        </is>
      </c>
      <c r="B3" s="105" t="inlineStr">
        <is>
          <t>Common name of the site</t>
        </is>
      </c>
      <c r="C3" s="105" t="inlineStr">
        <is>
          <t>Other names; separate with ;</t>
        </is>
      </c>
      <c r="D3" s="105" t="inlineStr">
        <is>
          <t>Country or "International waters"</t>
        </is>
      </c>
      <c r="E3" s="105" t="inlineStr">
        <is>
          <t>ISO 3166 two-letter code</t>
        </is>
      </c>
      <c r="F3" s="105" t="inlineStr">
        <is>
          <t>State, province or area</t>
        </is>
      </c>
      <c r="G3" s="105" t="inlineStr">
        <is>
          <t>Decimal degrees, WGS84 (south is minus)</t>
        </is>
      </c>
      <c r="H3" s="105" t="inlineStr">
        <is>
          <t>Decimal degrees, WGS84 (west is minus)</t>
        </is>
      </c>
      <c r="I3" s="105" t="inlineStr">
        <is>
          <t>How precisely to publish the location</t>
        </is>
      </c>
      <c r="J3" s="105" t="inlineStr">
        <is>
          <t>Fragile, protected or Indigenous land?</t>
        </is>
      </c>
      <c r="K3" s="105" t="inlineStr">
        <is>
          <t>Approximate area in km²</t>
        </is>
      </c>
      <c r="L3" s="105" t="inlineStr">
        <is>
          <t>One line, under 300 characters</t>
        </is>
      </c>
      <c r="M3" s="106" t="inlineStr">
        <is>
          <t>Main body it is an analogue for</t>
        </is>
      </c>
      <c r="N3" s="106" t="inlineStr">
        <is>
          <t>Other bodies; separate with ;</t>
        </is>
      </c>
      <c r="O3" s="106" t="inlineStr">
        <is>
          <t>Main kind of analogue</t>
        </is>
      </c>
      <c r="P3" s="106" t="inlineStr">
        <is>
          <t>Other kinds; separate with ;</t>
        </is>
      </c>
      <c r="Q3" s="106" t="inlineStr">
        <is>
          <t>Planetary feature it is compared with</t>
        </is>
      </c>
      <c r="R3" s="106" t="inlineStr">
        <is>
          <t>Why it is a good analogue</t>
        </is>
      </c>
      <c r="S3" s="106" t="inlineStr">
        <is>
          <t>Where the comparison breaks down</t>
        </is>
      </c>
      <c r="T3" s="107" t="inlineStr">
        <is>
          <t>Main setting</t>
        </is>
      </c>
      <c r="U3" s="107" t="inlineStr">
        <is>
          <t>Separate with ;</t>
        </is>
      </c>
      <c r="V3" s="107" t="inlineStr">
        <is>
          <t>mindat.org names; separate with ;</t>
        </is>
      </c>
      <c r="W3" s="107" t="inlineStr">
        <is>
          <t>Age of rocks or features</t>
        </is>
      </c>
      <c r="X3" s="108" t="inlineStr">
        <is>
          <t>Main environment</t>
        </is>
      </c>
      <c r="Y3" s="108" t="inlineStr">
        <is>
          <t>Others; separate with ;</t>
        </is>
      </c>
      <c r="Z3" s="108" t="inlineStr">
        <is>
          <t>pH, 0 to 14</t>
        </is>
      </c>
      <c r="AA3" s="108" t="inlineStr">
        <is>
          <t>pH, 0 to 14</t>
        </is>
      </c>
      <c r="AB3" s="108" t="inlineStr">
        <is>
          <t>Temperature, °C</t>
        </is>
      </c>
      <c r="AC3" s="108" t="inlineStr">
        <is>
          <t>Temperature, °C</t>
        </is>
      </c>
      <c r="AD3" s="108" t="inlineStr">
        <is>
          <t>Value with units, or a description</t>
        </is>
      </c>
      <c r="AE3" s="108" t="inlineStr">
        <is>
          <t>Metres above sea level</t>
        </is>
      </c>
      <c r="AF3" s="108" t="inlineStr">
        <is>
          <t>Metres above sea level</t>
        </is>
      </c>
      <c r="AG3" s="108" t="inlineStr">
        <is>
          <t>Is life present at the site?</t>
        </is>
      </c>
      <c r="AH3" s="108" t="inlineStr">
        <is>
          <t>Key organisms or communities</t>
        </is>
      </c>
      <c r="AI3" s="109" t="inlineStr">
        <is>
          <t>1 to 5; see Rating scales tab</t>
        </is>
      </c>
      <c r="AJ3" s="109" t="inlineStr">
        <is>
          <t>Are permits needed?</t>
        </is>
      </c>
      <c r="AK3" s="109" t="inlineStr">
        <is>
          <t>Who issues them; add a link</t>
        </is>
      </c>
      <c r="AL3" s="109" t="inlineStr">
        <is>
          <t>Who owns or manages the land</t>
        </is>
      </c>
      <c r="AM3" s="109" t="n"/>
      <c r="AN3" s="109" t="inlineStr">
        <is>
          <t>When to visit</t>
        </is>
      </c>
      <c r="AO3" s="109" t="inlineStr">
        <is>
          <t>Roads, 4x4, boat, hike</t>
        </is>
      </c>
      <c r="AP3" s="109" t="inlineStr">
        <is>
          <t>What may be sampled, under which permit</t>
        </is>
      </c>
      <c r="AQ3" s="110" t="inlineStr">
        <is>
          <t>1 to 5; see Rating scales tab</t>
        </is>
      </c>
      <c r="AR3" s="110" t="inlineStr">
        <is>
          <t>From the hazards list; separate with ;</t>
        </is>
      </c>
      <c r="AS3" s="110" t="inlineStr">
        <is>
          <t>Precautions visitors should take</t>
        </is>
      </c>
      <c r="AT3" s="110" t="inlineStr">
        <is>
          <t>Date ratings were checked (YYYY-MM-DD)</t>
        </is>
      </c>
      <c r="AU3" s="111" t="inlineStr">
        <is>
          <t>Names or ORCIDs; separate with ;</t>
        </is>
      </c>
      <c r="AV3" s="111" t="inlineStr">
        <is>
          <t>YYYY-MM-DD</t>
        </is>
      </c>
      <c r="AW3" s="111" t="inlineStr">
        <is>
          <t>YYYY-MM-DD</t>
        </is>
      </c>
      <c r="AX3" s="111" t="inlineStr">
        <is>
          <t>Where the entry is in review</t>
        </is>
      </c>
      <c r="AY3" s="111" t="inlineStr">
        <is>
          <t>Anything still to check</t>
        </is>
      </c>
      <c r="AZ3" s="112" t="inlineStr">
        <is>
          <t>Rows for this id on the References tab</t>
        </is>
      </c>
      <c r="BA3" s="112" t="inlineStr">
        <is>
          <t>Required fields still empty</t>
        </is>
      </c>
      <c r="BB3" s="112" t="inlineStr">
        <is>
          <t>Complete = all required fields + 1 reference</t>
        </is>
      </c>
    </row>
    <row r="4" ht="45.75" customHeight="1" s="62">
      <c r="A4" s="81" t="inlineStr">
        <is>
          <t>rio-tinto-es</t>
        </is>
      </c>
      <c r="B4" s="113" t="inlineStr">
        <is>
          <t>Río Tinto</t>
        </is>
      </c>
      <c r="C4" s="81" t="inlineStr">
        <is>
          <t>Rio Tinto; Tinto River</t>
        </is>
      </c>
      <c r="D4" s="81" t="inlineStr">
        <is>
          <t>Spain</t>
        </is>
      </c>
      <c r="E4" s="81" t="inlineStr">
        <is>
          <t>ES</t>
        </is>
      </c>
      <c r="F4" s="81" t="inlineStr">
        <is>
          <t>Huelva, Andalusia</t>
        </is>
      </c>
      <c r="G4" s="81" t="n">
        <v>37.21</v>
      </c>
      <c r="H4" s="81" t="n">
        <v>-6.938</v>
      </c>
      <c r="I4" s="81" t="inlineStr">
        <is>
          <t>Approximately 10 km</t>
        </is>
      </c>
      <c r="J4" s="81" t="inlineStr">
        <is>
          <t>No</t>
        </is>
      </c>
      <c r="K4" s="81" t="n">
        <v>169.57</v>
      </c>
      <c r="L4" s="113" t="inlineStr">
        <is>
          <t>Highly acidic, iron-rich river (mean pH 2.3) rising at Peña de Hierro in the Iberian Pyrite Belt and reaching the Atlantic at Huelva. Its ferric sulphates and iron oxides, including jarosite and hematite, make it a classic analogue for Meridiani Planum, Mars.</t>
        </is>
      </c>
      <c r="M4" s="81" t="inlineStr">
        <is>
          <t>Mars</t>
        </is>
      </c>
      <c r="N4" s="81" t="inlineStr">
        <is>
          <t>Europa</t>
        </is>
      </c>
      <c r="O4" s="81" t="inlineStr">
        <is>
          <t>Mineralogical</t>
        </is>
      </c>
      <c r="P4" s="81" t="inlineStr">
        <is>
          <t>Geochemical; Habitability / biological</t>
        </is>
      </c>
      <c r="Q4" s="113" t="inlineStr">
        <is>
          <t>Meridiani Planum sulphate- and hematite-bearing outcrops (jarosite, hematite)</t>
        </is>
      </c>
      <c r="R4" s="113" t="inlineStr">
        <is>
          <t>Río Tinto precipitates jarosite, schwertmannite, goethite and hematite from acidic, iron-rich water, comparable to the jarosite and hematite identified at Meridiani Planum by Mössbauer spectroscopy. Its acidity is generated by chemolithotrophic micro-organisms oxidising subsurface pyrite, making it a model for iron- and sulphur-based habitability on Mars.</t>
        </is>
      </c>
      <c r="S4" s="113" t="inlineStr">
        <is>
          <t>Meridiani sediments formed in an arid aeolian and aqueous setting, whereas Tinto sediments form in seasonally arid stream beds; Tinto acidity comes from pyrite oxidation, which is not the only possible source of acidic fluids on Mars; ferric sulphates do not persist in the Tinto rock record, unlike Meridiani; the basin has more than 5,000 years of mining history.</t>
        </is>
      </c>
      <c r="T4" s="81" t="inlineStr">
        <is>
          <t>Hydrothermal / ore deposit</t>
        </is>
      </c>
      <c r="U4" s="81" t="inlineStr">
        <is>
          <t>Massive sulphide (pyrite) ore bodies; gossans; ferruginous river terraces</t>
        </is>
      </c>
      <c r="V4" s="113" t="inlineStr">
        <is>
          <t>Jarosite; Hydroniumjarosite; Schwertmannite; Copiapite; Coquimbite; Gypsum; Goethite; Hematite; Pyrite; Siderite</t>
        </is>
      </c>
      <c r="W4" s="81" t="inlineStr">
        <is>
          <t>Iberian Pyrite Belt formed during the Hercynian orogeny; gossans older than 6 Ma; oldest river terrace dated to 2.1 Ma</t>
        </is>
      </c>
      <c r="X4" s="81" t="inlineStr">
        <is>
          <t>Acidic</t>
        </is>
      </c>
      <c r="Y4" s="81" t="inlineStr">
        <is>
          <t>Iron-rich; Sulphur-rich</t>
        </is>
      </c>
      <c r="Z4" s="81" t="n">
        <v>2</v>
      </c>
      <c r="AA4" s="81" t="n">
        <v>2.5</v>
      </c>
      <c r="AB4" s="81" t="n"/>
      <c r="AC4" s="81" t="n"/>
      <c r="AD4" s="81" t="n"/>
      <c r="AE4" s="81" t="n"/>
      <c r="AF4" s="81" t="n"/>
      <c r="AG4" s="81" t="inlineStr">
        <is>
          <t>Yes</t>
        </is>
      </c>
      <c r="AH4" s="113" t="inlineStr">
        <is>
          <t>Acidithiobacillus; Leptospirillum; Acidiphilium; Chlamydomonas; Dunaliella; Chlorella; Klebsormidium; Cyanidium; Euglena; pennate diatoms; Methanosaeta concilii (sediments)</t>
        </is>
      </c>
      <c r="AI4" s="81" t="n">
        <v>2</v>
      </c>
      <c r="AJ4" s="81" t="inlineStr">
        <is>
          <t>Varies</t>
        </is>
      </c>
      <c r="AK4" s="113" t="inlineStr">
        <is>
          <t>Junta de Andalucía (Consejería de Medio Ambiente), managing authority of the Paisaje Protegido de Río Tinto</t>
        </is>
      </c>
      <c r="AL4" s="81" t="inlineStr">
        <is>
          <t>Protected area / national park</t>
        </is>
      </c>
      <c r="AM4" s="81" t="inlineStr">
        <is>
          <t>Minas de Riotinto; Nerva</t>
        </is>
      </c>
      <c r="AN4" s="81" t="n"/>
      <c r="AO4" s="113" t="n"/>
      <c r="AP4" s="113" t="inlineStr">
        <is>
          <t>Protected landscape (Decree 558/2004): access to publicly owned land only via designated, signposted places; the environment authority may restrict zones for research or conservation; aggregate extraction and actions altering the river's water character are prohibited; no specific sampling rules are set out in the decree.</t>
        </is>
      </c>
      <c r="AQ4" s="81" t="n">
        <v>2</v>
      </c>
      <c r="AR4" s="113" t="inlineStr">
        <is>
          <t>Acidic or caustic water; Old mine workings</t>
        </is>
      </c>
      <c r="AS4" s="113" t="inlineStr">
        <is>
          <t>River water is around pH 2; avoid skin and eye contact and use gloves and eye protection when sampling. The basin contains extensive historical and active mine workings (copper production restarted in 2016).</t>
        </is>
      </c>
      <c r="AT4" s="114" t="n"/>
      <c r="AU4" s="81" t="n"/>
      <c r="AV4" s="114" t="n">
        <v>46306</v>
      </c>
      <c r="AW4" s="114" t="n"/>
      <c r="AX4" s="81" t="inlineStr">
        <is>
          <t>Draft</t>
        </is>
      </c>
      <c r="AY4" s="113" t="inlineStr">
        <is>
          <t>Ratings are PROPOSALS by Claude: check against Rating scales, then fill rating_last_reviewed. Open issues: see Research log tab.</t>
        </is>
      </c>
      <c r="AZ4" s="115">
        <f>IF($B4="","",COUNTIF(References!$A$4:$A$503,$A4))</f>
        <v/>
      </c>
      <c r="BA4" s="115">
        <f>IF($B4="","",(LEN(A4)=0)+(LEN(B4)=0)+(LEN(D4)=0)+(LEN(G4)=0)+(LEN(H4)=0)+(LEN(I4)=0)+(LEN(J4)=0)+(LEN(L4)=0)+(LEN(M4)=0)+(LEN(O4)=0)+(LEN(R4)=0)+(LEN(X4)=0)+(LEN(AI4)=0)+(LEN(AJ4)=0)+(LEN(AQ4)=0)+(LEN(AR4)=0)+(LEN(AT4)=0)+(LEN(AU4)=0)+(LEN(AV4)=0)+(LEN(AX4)=0))</f>
        <v/>
      </c>
      <c r="BB4" s="115">
        <f>IF($B4="","",IF(AND(BA4=0,AZ4&gt;=1),"Complete","Incomplete"))</f>
        <v/>
      </c>
    </row>
    <row r="5" ht="34.5" customHeight="1" s="62">
      <c r="A5" s="81" t="inlineStr">
        <is>
          <t>atacama-yungay-cl</t>
        </is>
      </c>
      <c r="B5" s="113" t="inlineStr">
        <is>
          <t>Atacama Desert – Yungay area</t>
        </is>
      </c>
      <c r="C5" s="81" t="inlineStr">
        <is>
          <t>Yungay hyperarid site</t>
        </is>
      </c>
      <c r="D5" s="81" t="inlineStr">
        <is>
          <t>Chile</t>
        </is>
      </c>
      <c r="E5" s="81" t="inlineStr">
        <is>
          <t>CL</t>
        </is>
      </c>
      <c r="F5" s="81" t="inlineStr">
        <is>
          <t>Antofagasta Region, hyperarid core of the Atacama Desert</t>
        </is>
      </c>
      <c r="G5" s="81" t="n">
        <v>-24.1</v>
      </c>
      <c r="H5" s="81" t="n">
        <v>-70.01000000000001</v>
      </c>
      <c r="I5" s="81" t="inlineStr">
        <is>
          <t>Approximately 10 km</t>
        </is>
      </c>
      <c r="J5" s="81" t="inlineStr">
        <is>
          <t>No</t>
        </is>
      </c>
      <c r="K5" s="81" t="n"/>
      <c r="L5" s="113" t="inlineStr">
        <is>
          <t>Hyperarid core of the Atacama Desert near Yungay, Chile. Its saline soils, rich in nitrates, sulphates and perchlorates and very poor in organics, hold extremely sparse microbial life. The site is a classic Mars soil analogue first proposed in 2003.</t>
        </is>
      </c>
      <c r="M5" s="81" t="inlineStr">
        <is>
          <t>Mars</t>
        </is>
      </c>
      <c r="N5" s="81" t="n"/>
      <c r="O5" s="81" t="inlineStr">
        <is>
          <t>Habitability / biological</t>
        </is>
      </c>
      <c r="P5" s="81" t="inlineStr">
        <is>
          <t>Geochemical</t>
        </is>
      </c>
      <c r="Q5" s="113" t="inlineStr">
        <is>
          <t>Hyperarid, oxidising, nitrate- and perchlorate-bearing soils with trace organics (dry limit of microbial life)</t>
        </is>
      </c>
      <c r="R5" s="113" t="inlineStr">
        <is>
          <t>Navarro-González et al. (2003) found Mars-like soils at Yungay: trace organics, very few culturable bacteria, no recoverable DNA, and non-biological decomposition of organics in Viking-style labelled-release experiments. Later work uses the site as an analogue for an incomplete nitrogen cycle on Mars and for the effect of rare floods on dry-adapted ecosystems.</t>
        </is>
      </c>
      <c r="S5" s="113" t="n"/>
      <c r="T5" s="81" t="n"/>
      <c r="U5" s="81" t="n"/>
      <c r="V5" s="113" t="inlineStr">
        <is>
          <t>Halite; Nitratine</t>
        </is>
      </c>
      <c r="W5" s="81" t="n"/>
      <c r="X5" s="81" t="inlineStr">
        <is>
          <t>Hyperarid</t>
        </is>
      </c>
      <c r="Y5" s="81" t="inlineStr">
        <is>
          <t>Evaporite</t>
        </is>
      </c>
      <c r="Z5" s="81" t="n"/>
      <c r="AA5" s="81" t="n"/>
      <c r="AB5" s="81" t="n"/>
      <c r="AC5" s="81" t="n"/>
      <c r="AD5" s="81" t="inlineStr">
        <is>
          <t>Highly saline soils enriched in nitrates, sulphates and perchlorates; halite and sodium nitrate identified by XRD in post-rain lagoons</t>
        </is>
      </c>
      <c r="AE5" s="81" t="n"/>
      <c r="AF5" s="81" t="n"/>
      <c r="AG5" s="81" t="inlineStr">
        <is>
          <t>Yes</t>
        </is>
      </c>
      <c r="AH5" s="113" t="inlineStr">
        <is>
          <t>Halomonas yungayensis (new species described from post-2017-rain lagoons); Halomonas, Marinimicrobium, Marinobacter, Acinetobacter dominate post-rain soils</t>
        </is>
      </c>
      <c r="AI5" s="81" t="n">
        <v>2</v>
      </c>
      <c r="AJ5" s="81" t="n"/>
      <c r="AK5" s="113" t="n"/>
      <c r="AL5" s="81" t="n"/>
      <c r="AM5" s="81" t="n"/>
      <c r="AN5" s="81" t="n"/>
      <c r="AO5" s="113" t="n"/>
      <c r="AP5" s="113" t="n"/>
      <c r="AQ5" s="81" t="n">
        <v>2</v>
      </c>
      <c r="AR5" s="113" t="n"/>
      <c r="AS5" s="113" t="n"/>
      <c r="AT5" s="114" t="n"/>
      <c r="AU5" s="81" t="n"/>
      <c r="AV5" s="114" t="n">
        <v>46306</v>
      </c>
      <c r="AW5" s="114" t="n"/>
      <c r="AX5" s="81" t="inlineStr">
        <is>
          <t>Draft</t>
        </is>
      </c>
      <c r="AY5" s="113" t="inlineStr">
        <is>
          <t>Ratings are PROPOSALS by Claude: check against Rating scales, then fill rating_last_reviewed. Open issues: see Research log tab.</t>
        </is>
      </c>
      <c r="AZ5" s="115">
        <f>IF($B5="","",COUNTIF(References!$A$4:$A$503,$A5))</f>
        <v/>
      </c>
      <c r="BA5" s="115">
        <f>IF($B5="","",(LEN(A5)=0)+(LEN(B5)=0)+(LEN(D5)=0)+(LEN(G5)=0)+(LEN(H5)=0)+(LEN(I5)=0)+(LEN(J5)=0)+(LEN(L5)=0)+(LEN(M5)=0)+(LEN(O5)=0)+(LEN(R5)=0)+(LEN(X5)=0)+(LEN(AI5)=0)+(LEN(AJ5)=0)+(LEN(AQ5)=0)+(LEN(AR5)=0)+(LEN(AT5)=0)+(LEN(AU5)=0)+(LEN(AV5)=0)+(LEN(AX5)=0))</f>
        <v/>
      </c>
      <c r="BB5" s="115">
        <f>IF($B5="","",IF(AND(BA5=0,AZ5&gt;=1),"Complete","Incomplete"))</f>
        <v/>
      </c>
    </row>
    <row r="6" ht="34.5" customHeight="1" s="62">
      <c r="A6" s="81" t="inlineStr">
        <is>
          <t>dallol-et</t>
        </is>
      </c>
      <c r="B6" s="113" t="inlineStr">
        <is>
          <t>Dallol</t>
        </is>
      </c>
      <c r="C6" s="81" t="inlineStr">
        <is>
          <t>Dallol dome; Dallol hydrothermal system</t>
        </is>
      </c>
      <c r="D6" s="81" t="inlineStr">
        <is>
          <t>Ethiopia</t>
        </is>
      </c>
      <c r="E6" s="81" t="inlineStr">
        <is>
          <t>ET</t>
        </is>
      </c>
      <c r="F6" s="81" t="inlineStr">
        <is>
          <t>Danakil Depression, Afar Region</t>
        </is>
      </c>
      <c r="G6" s="81" t="n">
        <v>14.242</v>
      </c>
      <c r="H6" s="81" t="n">
        <v>40.3</v>
      </c>
      <c r="I6" s="81" t="inlineStr">
        <is>
          <t>Approximately 1 km</t>
        </is>
      </c>
      <c r="J6" s="81" t="inlineStr">
        <is>
          <t>No</t>
        </is>
      </c>
      <c r="K6" s="81" t="n"/>
      <c r="L6" s="113" t="inlineStr">
        <is>
          <t>Protovolcanic dome in the Danakil Depression, Ethiopia, where basaltic magma heats evaporites. The result is anoxic, hypersaline, iron-rich brines (pH down to -1.7, up to about 108 °C). The site is used to study the limits of life and iron mineralogy relevant to Mars.</t>
        </is>
      </c>
      <c r="M6" s="81" t="inlineStr">
        <is>
          <t>Mars</t>
        </is>
      </c>
      <c r="N6" s="81" t="inlineStr">
        <is>
          <t>Early Earth</t>
        </is>
      </c>
      <c r="O6" s="81" t="inlineStr">
        <is>
          <t>Geochemical</t>
        </is>
      </c>
      <c r="P6" s="81" t="inlineStr">
        <is>
          <t>Habitability / biological; Mineralogical</t>
        </is>
      </c>
      <c r="Q6" s="113" t="inlineStr">
        <is>
          <t>Hyperacidic, hypersaline, iron-rich hydrothermal springs and brine pools precipitating jarosite-group minerals, akaganeite and hematite over halite</t>
        </is>
      </c>
      <c r="R6" s="113" t="inlineStr">
        <is>
          <t>Kotopoulou et al. (2019) describe Dallol as a Martian analogue where inorganic iron oxidation precipitates jarosite and akaganeite, minerals also identified on Mars. Belilla et al. (2019) found two physicochemical barriers to life where liquid water is present: chaotropic Mg/Ca brines, and pH around 0 combined with NaCl saturation. Diverse ultrasmall archaea occur only outside these conditions.</t>
        </is>
      </c>
      <c r="S6" s="113" t="n"/>
      <c r="T6" s="81" t="inlineStr">
        <is>
          <t>Volcanic</t>
        </is>
      </c>
      <c r="U6" s="81" t="inlineStr">
        <is>
          <t>Evaporites (halite-dominated salt deposits, potash) over basaltic magma</t>
        </is>
      </c>
      <c r="V6" s="113" t="inlineStr">
        <is>
          <t>Halite; Jarosite; Akaganeite; Hematite; Gypsum; Sylvite; Carnallite; Sulphur; Goethite; Anhydrite</t>
        </is>
      </c>
      <c r="W6" s="81" t="inlineStr">
        <is>
          <t>Dallol volcano formed in phreatic eruptions in 1926. The last activity, possibly degassing, was in January 2011. The age of the hydrothermal system is unknown.</t>
        </is>
      </c>
      <c r="X6" s="81" t="inlineStr">
        <is>
          <t>Hot spring / hydrothermal</t>
        </is>
      </c>
      <c r="Y6" s="81" t="inlineStr">
        <is>
          <t>Acidic; Hypersaline; Iron-rich; Evaporite</t>
        </is>
      </c>
      <c r="Z6" s="81" t="n">
        <v>-1.7</v>
      </c>
      <c r="AA6" s="81" t="n">
        <v>2.5</v>
      </c>
      <c r="AB6" s="81" t="n">
        <v>32</v>
      </c>
      <c r="AC6" s="81" t="n">
        <v>108.4</v>
      </c>
      <c r="AD6" s="81" t="inlineStr">
        <is>
          <t>Hypersaline: brines supersaturated in NaCl, with up to 150 g/L iron (mean about 22.5 g/L in spring brines). Mg/Ca-dominated chaotropic brines also occur.</t>
        </is>
      </c>
      <c r="AE6" s="81" t="n">
        <v>-120</v>
      </c>
      <c r="AF6" s="81" t="n">
        <v>-60</v>
      </c>
      <c r="AG6" s="81" t="inlineStr">
        <is>
          <t>Yes</t>
        </is>
      </c>
      <c r="AH6" s="113" t="inlineStr">
        <is>
          <t>Highly diverse ultrasmall archaea (including Nanohaloarchaea) in the surrounding salt plains and less extreme brines. No life was detected in the hyperacidic, hypersaline dome ponds.</t>
        </is>
      </c>
      <c r="AI6" s="81" t="n">
        <v>4</v>
      </c>
      <c r="AJ6" s="81" t="n"/>
      <c r="AK6" s="113" t="n"/>
      <c r="AL6" s="81" t="inlineStr">
        <is>
          <t>Unknown</t>
        </is>
      </c>
      <c r="AM6" s="81" t="n"/>
      <c r="AN6" s="81" t="n"/>
      <c r="AO6" s="113" t="n"/>
      <c r="AP6" s="113" t="n"/>
      <c r="AQ6" s="81" t="n">
        <v>4</v>
      </c>
      <c r="AR6" s="113" t="inlineStr">
        <is>
          <t>Extreme heat; Toxic gas; Acidic or caustic water; Political instability</t>
        </is>
      </c>
      <c r="AS6" s="113" t="inlineStr">
        <is>
          <t>The UK FCDO (updated 7 October 2026) advises against all but essential travel to Afar, and against all travel within 20 km of the Eritrean border and within 50 km of Tigray. It reports renewed clashes in parts of Afar. Foreign nationals currently cannot fly into Afar airports, and medical facilities outside Addis Ababa are extremely limited. Fumaroles emit CO2, H2S and SO2. Brines reach about 108 °C and pH below 0.</t>
        </is>
      </c>
      <c r="AT6" s="114" t="n"/>
      <c r="AU6" s="81" t="n"/>
      <c r="AV6" s="114" t="n">
        <v>46306</v>
      </c>
      <c r="AW6" s="114" t="n"/>
      <c r="AX6" s="81" t="inlineStr">
        <is>
          <t>Draft</t>
        </is>
      </c>
      <c r="AY6" s="113" t="inlineStr">
        <is>
          <t>Ratings are PROPOSALS by Claude: check against Rating scales, then fill rating_last_reviewed. geological_setting also: Evaporite basin; Hydrothermal / ore deposit Open issues: see Research log tab.</t>
        </is>
      </c>
      <c r="AZ6" s="115">
        <f>IF($B6="","",COUNTIF(References!$A$4:$A$503,$A6))</f>
        <v/>
      </c>
      <c r="BA6" s="115">
        <f>IF($B6="","",(LEN(A6)=0)+(LEN(B6)=0)+(LEN(D6)=0)+(LEN(G6)=0)+(LEN(H6)=0)+(LEN(I6)=0)+(LEN(J6)=0)+(LEN(L6)=0)+(LEN(M6)=0)+(LEN(O6)=0)+(LEN(R6)=0)+(LEN(X6)=0)+(LEN(AI6)=0)+(LEN(AJ6)=0)+(LEN(AQ6)=0)+(LEN(AR6)=0)+(LEN(AT6)=0)+(LEN(AU6)=0)+(LEN(AV6)=0)+(LEN(AX6)=0))</f>
        <v/>
      </c>
      <c r="BB6" s="115">
        <f>IF($B6="","",IF(AND(BA6=0,AZ6&gt;=1),"Complete","Incomplete"))</f>
        <v/>
      </c>
    </row>
    <row r="7" ht="34.5" customHeight="1" s="62">
      <c r="A7" s="81" t="inlineStr">
        <is>
          <t>mcmurdo-dry-valleys-aq</t>
        </is>
      </c>
      <c r="B7" s="113" t="inlineStr">
        <is>
          <t>McMurdo Dry Valleys</t>
        </is>
      </c>
      <c r="C7" s="81" t="inlineStr">
        <is>
          <t>Dry Valleys; McMurdo Dry Valleys ASMA No. 2</t>
        </is>
      </c>
      <c r="D7" s="81" t="inlineStr">
        <is>
          <t>Antarctica</t>
        </is>
      </c>
      <c r="E7" s="81" t="inlineStr">
        <is>
          <t>AQ</t>
        </is>
      </c>
      <c r="F7" s="81" t="inlineStr">
        <is>
          <t>Victoria Land, East Antarctica (between the East Antarctic Ice Sheet and McMurdo Sound/Ross Sea)</t>
        </is>
      </c>
      <c r="G7" s="81" t="n">
        <v>-77</v>
      </c>
      <c r="H7" s="81" t="n">
        <v>162</v>
      </c>
      <c r="I7" s="81" t="inlineStr">
        <is>
          <t>Region only</t>
        </is>
      </c>
      <c r="J7" s="81" t="inlineStr">
        <is>
          <t>Yes</t>
        </is>
      </c>
      <c r="K7" s="81" t="n">
        <v>4500</v>
      </c>
      <c r="L7" s="113" t="inlineStr">
        <is>
          <t>About 4,500 km2 of mostly ice-free valleys in Victoria Land: a cold, extremely arid, windy polar desert of valleys, ice-covered lakes and permafrost soils. A long-standing Mars analogue (used by NASA since Viking) and home of cryptoendolithic microbial communities living inside rocks.</t>
        </is>
      </c>
      <c r="M7" s="81" t="inlineStr">
        <is>
          <t>Mars</t>
        </is>
      </c>
      <c r="N7" s="81" t="inlineStr">
        <is>
          <t>Early Earth</t>
        </is>
      </c>
      <c r="O7" s="81" t="inlineStr">
        <is>
          <t>Habitability / biological</t>
        </is>
      </c>
      <c r="P7" s="81" t="inlineStr">
        <is>
          <t>Geological / geomorphological; Cryospheric</t>
        </is>
      </c>
      <c r="Q7" s="113" t="inlineStr">
        <is>
          <t>Cryptoendolithic communities in porous rocks; cold-desert soils, permafrost and ice-covered lakes</t>
        </is>
      </c>
      <c r="R7" s="113" t="inlineStr">
        <is>
          <t>The cold, extremely arid and windy climate is regarded as an analogue for contemporary Mars and ancient Earth. Cryptoendolithic lichens and microbes survive by growing between the crystals of porous rocks, a model for where life might persist near the surface of Mars. Microclimate zonation and geomorphic processes are used to interpret Martian landforms and climate change.</t>
        </is>
      </c>
      <c r="S7" s="113" t="inlineStr">
        <is>
          <t>Unlike Mars, the valleys have an oxygen-rich atmosphere, liquid water in summer (meltwater streams and lakes) and annual precipitation of around 100 mm; endolithic life is therefore not directly comparable with present-day Martian conditions.</t>
        </is>
      </c>
      <c r="T7" s="81" t="inlineStr">
        <is>
          <t>Glacial</t>
        </is>
      </c>
      <c r="U7" s="81" t="inlineStr">
        <is>
          <t>Granite; gneiss; marble and calc-schist (Asgard Formation, Skelton Group); granitoid plutons and dykes (Granite Harbour Intrusives); Beacon Supergroup sedimentary rocks; Ferrar Dolerite; McMurdo Volcanic Group basalt; glacial till</t>
        </is>
      </c>
      <c r="V7" s="113" t="n"/>
      <c r="W7" s="81" t="inlineStr">
        <is>
          <t>Basement metamorphic and intrusive rocks overlain by the Beacon Supergroup intruded by Jurassic Ferrar Dolerite; McMurdo Volcanic Group basalts 2.1–4.4 Ma</t>
        </is>
      </c>
      <c r="X7" s="81" t="inlineStr">
        <is>
          <t>Polar desert</t>
        </is>
      </c>
      <c r="Y7" s="81" t="inlineStr">
        <is>
          <t>Permafrost; Hypersaline</t>
        </is>
      </c>
      <c r="Z7" s="81" t="n"/>
      <c r="AA7" s="81" t="n"/>
      <c r="AB7" s="81" t="n">
        <v>-65.7</v>
      </c>
      <c r="AC7" s="81" t="n">
        <v>12</v>
      </c>
      <c r="AD7" s="81" t="inlineStr">
        <is>
          <t>Mostly fresh to saline ice-covered lakes; Lake Vida saline; Don Juan Pond the most saline water body</t>
        </is>
      </c>
      <c r="AE7" s="81" t="n"/>
      <c r="AF7" s="81" t="n"/>
      <c r="AG7" s="81" t="inlineStr">
        <is>
          <t>Yes</t>
        </is>
      </c>
      <c r="AH7" s="113" t="inlineStr">
        <is>
          <t>Cryptoendolithic lichens and photosynthetic bacteria inside porous rocks; microbial mats; cryoconite communities; anaerobic iron- and sulphur-based bacteria beneath Taylor Glacier</t>
        </is>
      </c>
      <c r="AI7" s="81" t="n">
        <v>5</v>
      </c>
      <c r="AJ7" s="81" t="inlineStr">
        <is>
          <t>Yes</t>
        </is>
      </c>
      <c r="AK7" s="113" t="inlineStr">
        <is>
          <t>Competent national authority of the expedition's Antarctic Treaty Party (e.g. UK: FCDO Polar Regions Department), under the Protocol on Environmental Protection; separate permits to enter ASPAs 123, 131, 138 and 154 inside the ASMA</t>
        </is>
      </c>
      <c r="AL7" s="81" t="inlineStr">
        <is>
          <t>Protected area / national park</t>
        </is>
      </c>
      <c r="AM7" s="81" t="inlineStr">
        <is>
          <t>Ross Island (helicopter departure point)</t>
        </is>
      </c>
      <c r="AN7" s="81" t="n"/>
      <c r="AO7" s="113" t="inlineStr">
        <is>
          <t>Access normally by helicopter from Ross Island, or over sea ice via New Harbor or Marble Point. Helicopters should use designated pads; overflight restrictions over ASPAs 123, 131 and 154. Vehicles restricted to lake ice or existing tracks unless specifically authorised.</t>
        </is>
      </c>
      <c r="AP7" s="113" t="inlineStr">
        <is>
          <t>Specimens (including rocks and fossils) only for scientific or associated educational purposes; collect only the minimum endolithic community sample needed for analysis; taking of native flora/fauna needs an Annex II permit; avoid trampling microbial mats (e.g. walk only on rocks at Boulder Pavement); follow ASMA zoning (Facilities, Tourism zone near Canada Glacier, Special Features).</t>
        </is>
      </c>
      <c r="AQ7" s="81" t="n">
        <v>4</v>
      </c>
      <c r="AR7" s="113" t="inlineStr">
        <is>
          <t>Extreme cold; Remoteness / no phone signal</t>
        </is>
      </c>
      <c r="AS7" s="113" t="inlineStr">
        <is>
          <t>Strong katabatic winds: secure all equipment and supplies. Take extreme care with vehicles on lake ice to avoid rollover or breaking through. Spill kits and secondary containment required for fuel and chemicals. Record air temperatures range from 12.0 °C to −65.7 °C.</t>
        </is>
      </c>
      <c r="AT7" s="114" t="n"/>
      <c r="AU7" s="81" t="n"/>
      <c r="AV7" s="114" t="n">
        <v>46306</v>
      </c>
      <c r="AW7" s="114" t="n"/>
      <c r="AX7" s="81" t="inlineStr">
        <is>
          <t>Draft</t>
        </is>
      </c>
      <c r="AY7" s="113" t="inlineStr">
        <is>
          <t>Ratings are PROPOSALS by Claude: check against Rating scales, then fill rating_last_reviewed. Open issues: see Research log tab.</t>
        </is>
      </c>
      <c r="AZ7" s="115">
        <f>IF($B7="","",COUNTIF(References!$A$4:$A$503,$A7))</f>
        <v/>
      </c>
      <c r="BA7" s="115">
        <f>IF($B7="","",(LEN(A7)=0)+(LEN(B7)=0)+(LEN(D7)=0)+(LEN(G7)=0)+(LEN(H7)=0)+(LEN(I7)=0)+(LEN(J7)=0)+(LEN(L7)=0)+(LEN(M7)=0)+(LEN(O7)=0)+(LEN(R7)=0)+(LEN(X7)=0)+(LEN(AI7)=0)+(LEN(AJ7)=0)+(LEN(AQ7)=0)+(LEN(AR7)=0)+(LEN(AT7)=0)+(LEN(AU7)=0)+(LEN(AV7)=0)+(LEN(AX7)=0))</f>
        <v/>
      </c>
      <c r="BB7" s="115">
        <f>IF($B7="","",IF(AND(BA7=0,AZ7&gt;=1),"Complete","Incomplete"))</f>
        <v/>
      </c>
    </row>
    <row r="8" ht="34.5" customHeight="1" s="62">
      <c r="A8" s="81" t="inlineStr">
        <is>
          <t>haughton-crater-ca</t>
        </is>
      </c>
      <c r="B8" s="113" t="inlineStr">
        <is>
          <t>Haughton impact structure</t>
        </is>
      </c>
      <c r="C8" s="81" t="inlineStr">
        <is>
          <t>Haughton crater; Haughton Dome</t>
        </is>
      </c>
      <c r="D8" s="81" t="inlineStr">
        <is>
          <t>Canada</t>
        </is>
      </c>
      <c r="E8" s="81" t="inlineStr">
        <is>
          <t>CA</t>
        </is>
      </c>
      <c r="F8" s="81" t="inlineStr">
        <is>
          <t>Devon Island, Nunavut</t>
        </is>
      </c>
      <c r="G8" s="81" t="n">
        <v>75.383</v>
      </c>
      <c r="H8" s="81" t="n">
        <v>-89.667</v>
      </c>
      <c r="I8" s="81" t="inlineStr">
        <is>
          <t>Approximately 10 km</t>
        </is>
      </c>
      <c r="J8" s="81" t="inlineStr">
        <is>
          <t>Yes</t>
        </is>
      </c>
      <c r="K8" s="81" t="n"/>
      <c r="L8" s="113" t="inlineStr">
        <is>
          <t>Well-preserved c. 23 km impact structure on Devon Island in the Canadian High Arctic polar desert. It is home to the Haughton-Mars Project research station and is used for Mars and Moon geology, astrobiology and exploration analogue work.</t>
        </is>
      </c>
      <c r="M8" s="81" t="inlineStr">
        <is>
          <t>Mars</t>
        </is>
      </c>
      <c r="N8" s="81" t="inlineStr">
        <is>
          <t>Moon</t>
        </is>
      </c>
      <c r="O8" s="81" t="inlineStr">
        <is>
          <t>Impact</t>
        </is>
      </c>
      <c r="P8" s="81" t="inlineStr">
        <is>
          <t>Geological / geomorphological; Habitability / biological; Operational (instrument, rover or crew testing)</t>
        </is>
      </c>
      <c r="Q8" s="113" t="inlineStr">
        <is>
          <t>Crater-fill impact melt breccias; post-impact hydrothermal deposits; glacial and periglacial landforms and canyons (e.g. Astronaut Canyon, compared with a tributary of Ius Chasma on Mars)</t>
        </is>
      </c>
      <c r="R8" s="113" t="inlineStr">
        <is>
          <t>One of the best-preserved impact structures on Earth, in a cold, dry polar desert where weathering is slow. Heat from the impact melts drove a hydrothermal system that may have been a warm, wet microbial habitat, which makes it a model for impact-generated habitats on Mars. The site is also used to test habitats, spacesuits, rovers and drones for Moon and Mars missions.</t>
        </is>
      </c>
      <c r="S8" s="113" t="n"/>
      <c r="T8" s="81" t="inlineStr">
        <is>
          <t>Impact</t>
        </is>
      </c>
      <c r="U8" s="81" t="inlineStr">
        <is>
          <t>Impact melt breccia; shale; siltstone; gneiss (basement); lacustrine mudstone and siltstone (Haughton Formation)</t>
        </is>
      </c>
      <c r="V8" s="113" t="inlineStr">
        <is>
          <t>Calcite; Anhydrite</t>
        </is>
      </c>
      <c r="W8" s="81" t="inlineStr">
        <is>
          <t>Impact c. 31 Ma (40Ar/39Ar weighted mean 31.04 ± 0.37 Ma; U-Pb lower intercept 31.8 ± 1.7 Ma; Erickson et al. 2021). An earlier estimate of c. 39 Ma (Osinski et al. 2005) is now superseded. Haughton Formation lake sediments are Miocene.</t>
        </is>
      </c>
      <c r="X8" s="81" t="inlineStr">
        <is>
          <t>Impact structure</t>
        </is>
      </c>
      <c r="Y8" s="81" t="inlineStr">
        <is>
          <t>Polar desert; Permafrost</t>
        </is>
      </c>
      <c r="Z8" s="81" t="n"/>
      <c r="AA8" s="81" t="n"/>
      <c r="AB8" s="81" t="n"/>
      <c r="AC8" s="81" t="n"/>
      <c r="AD8" s="81" t="n"/>
      <c r="AE8" s="81" t="n"/>
      <c r="AF8" s="81" t="n"/>
      <c r="AG8" s="81" t="inlineStr">
        <is>
          <t>Yes</t>
        </is>
      </c>
      <c r="AH8" s="113" t="n"/>
      <c r="AI8" s="81" t="n">
        <v>4</v>
      </c>
      <c r="AJ8" s="81" t="inlineStr">
        <is>
          <t>Yes</t>
        </is>
      </c>
      <c r="AK8" s="113" t="inlineStr">
        <is>
          <t>Nunavut Research Institute (Scientific Research Licence); Qikiqtani Inuit Association (Access to Inuit Owned Lands Permit); Nunavut Impact Review Board (screening of land-based research); Crown-Indigenous Relations and Northern Affairs Canada (Territorial Land Use Permit on Crown land); Mars Institute (written permission for non-Nunavut visitors to the HMP leased land)</t>
        </is>
      </c>
      <c r="AL8" s="81" t="inlineStr">
        <is>
          <t>Indigenous or community land</t>
        </is>
      </c>
      <c r="AM8" s="81" t="n"/>
      <c r="AN8" s="81" t="inlineStr">
        <is>
          <t>Summer (HMP field campaigns have run every summer since 1997)</t>
        </is>
      </c>
      <c r="AO8" s="113" t="inlineStr">
        <is>
          <t>No road access. The HMP Research Station has a c. 200 m dirt airstrip, and ATVs are used locally. The Mars Institute asks visitors to contact it first to confirm the airstrip is clear, find out where experiments are running and learn the ATV trail routes.</t>
        </is>
      </c>
      <c r="AP8" s="113" t="inlineStr">
        <is>
          <t>A NRI Scientific Research Licence is needed for natural and physical science. Land-based research is screened by the NIRB. Archaeological and palaeontological sites need permits from GN Culture and Heritage. Access to Inuit Owned Land needs a permit from the designated Inuit organisation.</t>
        </is>
      </c>
      <c r="AQ8" s="81" t="n">
        <v>4</v>
      </c>
      <c r="AR8" s="113" t="inlineStr">
        <is>
          <t>Extreme cold; Dangerous wildlife; Remoteness / no phone signal</t>
        </is>
      </c>
      <c r="AS8" s="113" t="inlineStr">
        <is>
          <t>Polar bears do reach field camps on Devon Island. Western University teams use electrified bear fencing around sleeping tents, set about a football field's distance from food, lab and toilet tents. They ban food and scented products from sleeping tents and carry shotguns and bear bangers. Report polar bear sightings to the local Government of Nunavut wildlife office.</t>
        </is>
      </c>
      <c r="AT8" s="114" t="n"/>
      <c r="AU8" s="81" t="n"/>
      <c r="AV8" s="114" t="n">
        <v>46306</v>
      </c>
      <c r="AW8" s="114" t="n"/>
      <c r="AX8" s="81" t="inlineStr">
        <is>
          <t>Draft</t>
        </is>
      </c>
      <c r="AY8" s="113" t="inlineStr">
        <is>
          <t>Ratings are PROPOSALS by Claude: check against Rating scales, then fill rating_last_reviewed. land_status also: Research station Open issues: see Research log tab.</t>
        </is>
      </c>
      <c r="AZ8" s="115">
        <f>IF($B8="","",COUNTIF(References!$A$4:$A$503,$A8))</f>
        <v/>
      </c>
      <c r="BA8" s="115">
        <f>IF($B8="","",(LEN(A8)=0)+(LEN(B8)=0)+(LEN(D8)=0)+(LEN(G8)=0)+(LEN(H8)=0)+(LEN(I8)=0)+(LEN(J8)=0)+(LEN(L8)=0)+(LEN(M8)=0)+(LEN(O8)=0)+(LEN(R8)=0)+(LEN(X8)=0)+(LEN(AI8)=0)+(LEN(AJ8)=0)+(LEN(AQ8)=0)+(LEN(AR8)=0)+(LEN(AT8)=0)+(LEN(AU8)=0)+(LEN(AV8)=0)+(LEN(AX8)=0))</f>
        <v/>
      </c>
      <c r="BB8" s="115">
        <f>IF($B8="","",IF(AND(BA8=0,AZ8&gt;=1),"Complete","Incomplete"))</f>
        <v/>
      </c>
    </row>
    <row r="9" ht="34.5" customHeight="1" s="62">
      <c r="A9" s="81" t="inlineStr">
        <is>
          <t>iceland-volcanic-fields-is</t>
        </is>
      </c>
      <c r="B9" s="113" t="inlineStr">
        <is>
          <t>Iceland volcanic fields (Holuhraun and Krafla)</t>
        </is>
      </c>
      <c r="C9" s="81" t="inlineStr">
        <is>
          <t>Holuhraun lava field; Krafla caldera</t>
        </is>
      </c>
      <c r="D9" s="81" t="inlineStr">
        <is>
          <t>Iceland</t>
        </is>
      </c>
      <c r="E9" s="81" t="inlineStr">
        <is>
          <t>IS</t>
        </is>
      </c>
      <c r="F9" s="81" t="inlineStr">
        <is>
          <t>North-east Iceland: Highlands north of Vatnajökull (Holuhraun) and Mývatn area (Krafla)</t>
        </is>
      </c>
      <c r="G9" s="81" t="n">
        <v>64.84999999999999</v>
      </c>
      <c r="H9" s="81" t="n">
        <v>-16.83</v>
      </c>
      <c r="I9" s="81" t="inlineStr">
        <is>
          <t>Region only</t>
        </is>
      </c>
      <c r="J9" s="81" t="inlineStr">
        <is>
          <t>No</t>
        </is>
      </c>
      <c r="K9" s="81" t="n">
        <v>85</v>
      </c>
      <c r="L9" s="113" t="inlineStr">
        <is>
          <t>Young basaltic fissure-fed lava fields in Iceland's rift zone: the 2014–15 Holuhraun flow-field north of Vatnajökull and the Krafla caldera near Mývatn. They are used as analogues for young Martian volcanic terrains and for aqueous alteration of basalt.</t>
        </is>
      </c>
      <c r="M9" s="81" t="inlineStr">
        <is>
          <t>Mars</t>
        </is>
      </c>
      <c r="N9" s="81" t="n"/>
      <c r="O9" s="81" t="inlineStr">
        <is>
          <t>Volcanic</t>
        </is>
      </c>
      <c r="P9" s="81" t="inlineStr">
        <is>
          <t>Geological / geomorphological; Mineralogical</t>
        </is>
      </c>
      <c r="Q9" s="113" t="inlineStr">
        <is>
          <t>The 2014–15 Holuhraun fissure-fed lava flow-field ('transitional' lavas, polygonal terrain, lava–water interaction); altered Icelandic basalts with smectite clays and other hydrous silicates; the Krafla caldera (c. 10 km) and its 90 km fissure zone</t>
        </is>
      </c>
      <c r="R9" s="113" t="inlineStr">
        <is>
          <t>Holuhraun is a large-volume, fissure-fed eruption used as an analogue for Elysium Planitia, the youngest volcanic terrain on Mars. Lava morphologies and fissure systems there point to similar extensional settings. Water-altered Icelandic basalts are used to test how well spectroscopic and XRD methods detect clay minerals, to help interpret Noachian aqueous environments on Mars.</t>
        </is>
      </c>
      <c r="S9" s="113" t="n"/>
      <c r="T9" s="81" t="inlineStr">
        <is>
          <t>Volcanic</t>
        </is>
      </c>
      <c r="U9" s="81" t="inlineStr">
        <is>
          <t>Basalt; rhyolite (magma found at c. 2.1 km depth at Krafla)</t>
        </is>
      </c>
      <c r="V9" s="113" t="n"/>
      <c r="W9" s="81" t="inlineStr">
        <is>
          <t>Holuhraun lava erupted 29 August 2014 – 27 February 2015; Krafla Fires eruptions 1975–1984</t>
        </is>
      </c>
      <c r="X9" s="81" t="inlineStr">
        <is>
          <t>Lava field / lava tube</t>
        </is>
      </c>
      <c r="Y9" s="81" t="inlineStr">
        <is>
          <t>Hot spring / hydrothermal</t>
        </is>
      </c>
      <c r="Z9" s="81" t="n"/>
      <c r="AA9" s="81" t="n"/>
      <c r="AB9" s="81" t="n"/>
      <c r="AC9" s="81" t="n"/>
      <c r="AD9" s="81" t="n"/>
      <c r="AE9" s="81" t="n"/>
      <c r="AF9" s="81" t="n"/>
      <c r="AG9" s="81" t="n"/>
      <c r="AH9" s="113" t="n"/>
      <c r="AI9" s="81" t="n">
        <v>3</v>
      </c>
      <c r="AJ9" s="81" t="n"/>
      <c r="AK9" s="113" t="inlineStr">
        <is>
          <t>Nature Conservation Agency of Iceland (Vatnajökull National Park)</t>
        </is>
      </c>
      <c r="AL9" s="81" t="inlineStr">
        <is>
          <t>Protected area / national park</t>
        </is>
      </c>
      <c r="AM9" s="81" t="n"/>
      <c r="AN9" s="81" t="inlineStr">
        <is>
          <t>Summer. Highland roads usually open between late May and mid-July, depending on snow.</t>
        </is>
      </c>
      <c r="AO9" s="113" t="inlineStr">
        <is>
          <t>Holuhraun is in the Askja &amp; Herðubreiðarlindir area of Vatnajökull National Park and is reached by seasonal highland roads. Roads in conservation areas may stay closed until the area can take visitors even when the road is clear. Check road.is or call 1777 for current conditions. Krafla is in the Mývatn area of north Iceland.</t>
        </is>
      </c>
      <c r="AP9" s="113" t="inlineStr">
        <is>
          <t>Visitors may only go on the waymarked trail from the Holuhraun parking lot, and the thin lava crust is easily damaged. The park lists permits but the page gives no details, so ask the park office about research sampling.</t>
        </is>
      </c>
      <c r="AQ9" s="81" t="n">
        <v>3</v>
      </c>
      <c r="AR9" s="113" t="inlineStr">
        <is>
          <t>Unstable ground; Volcanic activity</t>
        </is>
      </c>
      <c r="AS9" s="113" t="inlineStr">
        <is>
          <t>The Holuhraun lava is extremely rugged and difficult terrain, with a thin, fragile crust, so keep to the marked trail. Holuhraun was fed from the Bárðarbunga system, about 41 km to the south-west.</t>
        </is>
      </c>
      <c r="AT9" s="114" t="n"/>
      <c r="AU9" s="81" t="n"/>
      <c r="AV9" s="114" t="n">
        <v>46306</v>
      </c>
      <c r="AW9" s="114" t="n"/>
      <c r="AX9" s="81" t="inlineStr">
        <is>
          <t>Draft</t>
        </is>
      </c>
      <c r="AY9" s="113" t="inlineStr">
        <is>
          <t>Ratings are PROPOSALS by Claude: check against Rating scales, then fill rating_last_reviewed. geological_setting also: Hydrothermal / ore deposit Open issues: see Research log tab.</t>
        </is>
      </c>
      <c r="AZ9" s="115">
        <f>IF($B9="","",COUNTIF(References!$A$4:$A$503,$A9))</f>
        <v/>
      </c>
      <c r="BA9" s="115">
        <f>IF($B9="","",(LEN(A9)=0)+(LEN(B9)=0)+(LEN(D9)=0)+(LEN(G9)=0)+(LEN(H9)=0)+(LEN(I9)=0)+(LEN(J9)=0)+(LEN(L9)=0)+(LEN(M9)=0)+(LEN(O9)=0)+(LEN(R9)=0)+(LEN(X9)=0)+(LEN(AI9)=0)+(LEN(AJ9)=0)+(LEN(AQ9)=0)+(LEN(AR9)=0)+(LEN(AT9)=0)+(LEN(AU9)=0)+(LEN(AV9)=0)+(LEN(AX9)=0))</f>
        <v/>
      </c>
      <c r="BB9" s="115">
        <f>IF($B9="","",IF(AND(BA9=0,AZ9&gt;=1),"Complete","Incomplete"))</f>
        <v/>
      </c>
    </row>
    <row r="10" ht="34.5" customHeight="1" s="62">
      <c r="A10" s="81" t="inlineStr">
        <is>
          <t>pilbara-strelley-pool-au</t>
        </is>
      </c>
      <c r="B10" s="113" t="inlineStr">
        <is>
          <t>Pilbara Craton: Strelley Pool and Dresser formations</t>
        </is>
      </c>
      <c r="C10" s="81" t="inlineStr">
        <is>
          <t>Strelley Pool Chert; Trendall locality; North Pole Dome; Dresser Mine</t>
        </is>
      </c>
      <c r="D10" s="81" t="inlineStr">
        <is>
          <t>Australia</t>
        </is>
      </c>
      <c r="E10" s="81" t="inlineStr">
        <is>
          <t>AU</t>
        </is>
      </c>
      <c r="F10" s="81" t="inlineStr">
        <is>
          <t>Pilbara, Western Australia (East Pilbara Shire)</t>
        </is>
      </c>
      <c r="G10" s="81" t="n">
        <v>-21.207</v>
      </c>
      <c r="H10" s="81" t="n">
        <v>119.308</v>
      </c>
      <c r="I10" s="81" t="inlineStr">
        <is>
          <t>Approximately 10 km</t>
        </is>
      </c>
      <c r="J10" s="81" t="inlineStr">
        <is>
          <t>Yes</t>
        </is>
      </c>
      <c r="K10" s="81" t="n"/>
      <c r="L10" s="113" t="inlineStr">
        <is>
          <t>Paleoarchean rocks of the Pilbara Craton holding some of Earth's oldest stromatolites (Strelley Pool, c. 3.43 Ga) and c. 3.48 Ga hot-spring deposits (Dresser Formation). A key early-Earth and Mars biosignature analogue linked to Jezero crater studies.</t>
        </is>
      </c>
      <c r="M10" s="81" t="inlineStr">
        <is>
          <t>Early Earth</t>
        </is>
      </c>
      <c r="N10" s="81" t="inlineStr">
        <is>
          <t>Mars</t>
        </is>
      </c>
      <c r="O10" s="81" t="inlineStr">
        <is>
          <t>Habitability / biological</t>
        </is>
      </c>
      <c r="P10" s="81" t="inlineStr">
        <is>
          <t>Geological / geomorphological; Mineralogical; Geochemical</t>
        </is>
      </c>
      <c r="Q10" s="113" t="inlineStr">
        <is>
          <t>c. 3.43 Ga stromatolites of the Strelley Pool Chert (seven morphotypes on a peritidal carbonate platform); c. 3.48 Ga geyserite and hot-spring sinter of the Dresser Formation</t>
        </is>
      </c>
      <c r="R10" s="113" t="inlineStr">
        <is>
          <t>Strelley Pool stromatolites are among the strongest evidence for life c. 3.43 Ga, and their morphology and environmental context are used to argue for biogenicity. Dresser Formation geyserite with stromatolites and palisade fabric suggests life in terrestrial hot springs c. 3.48 Ga, which the authors present as an analogue for seeking fossil life in ancient Martian hot springs. The Mount Ada Basalt and Strelley Pool rocks have been compared with the olivine-carbonate unit at Jezero crater.</t>
        </is>
      </c>
      <c r="S10" s="113" t="inlineStr">
        <is>
          <t>Rocks have been silicified, metamorphosed and deformed over &gt;3 billion years; biogenicity of some structures (e.g. small conical forms) is disputed; Earth's Archean surface chemistry and plate-tectonic setting differ from Mars.</t>
        </is>
      </c>
      <c r="T10" s="81" t="inlineStr">
        <is>
          <t>Ancient craton</t>
        </is>
      </c>
      <c r="U10" s="81" t="inlineStr">
        <is>
          <t>Chert; stromatolitic carbonate (dolomite); sandstone; conglomerate; breccia; geyserite (siliceous sinter); basalt; komatiitic basalt; felsic tuff</t>
        </is>
      </c>
      <c r="V10" s="113" t="inlineStr">
        <is>
          <t>Quartz; Dolomite; Calcite; Baryte; Pyrite; Galena; Hematite; Kaolinite; Illite; Anatase; Ankerite; Siderite</t>
        </is>
      </c>
      <c r="W10" s="81" t="inlineStr">
        <is>
          <t>Strelley Pool Chert c. 3.43 Ga (Paleoarchean); Dresser Formation c. 3.48 Ga</t>
        </is>
      </c>
      <c r="X10" s="81" t="inlineStr">
        <is>
          <t>Hot spring / hydrothermal</t>
        </is>
      </c>
      <c r="Y10" s="81" t="inlineStr">
        <is>
          <t>Hypersaline</t>
        </is>
      </c>
      <c r="Z10" s="81" t="n"/>
      <c r="AA10" s="81" t="n"/>
      <c r="AB10" s="81" t="n"/>
      <c r="AC10" s="81" t="n"/>
      <c r="AD10" s="81" t="n"/>
      <c r="AE10" s="81" t="n"/>
      <c r="AF10" s="81" t="n"/>
      <c r="AG10" s="81" t="inlineStr">
        <is>
          <t>Yes</t>
        </is>
      </c>
      <c r="AH10" s="113" t="inlineStr">
        <is>
          <t>Fossil microbial communities only (stromatolites, microbial mat fabrics, inferred EPS with gas bubbles); no living analogue biota studied</t>
        </is>
      </c>
      <c r="AI10" s="81" t="n">
        <v>3</v>
      </c>
      <c r="AJ10" s="81" t="inlineStr">
        <is>
          <t>Yes</t>
        </is>
      </c>
      <c r="AK10" s="113" t="inlineStr">
        <is>
          <t>Geological Survey of Western Australia (fieldwork permits cited by Duda et al. 2016); native title and pastoral-lease holders may also need to be consulted (unconfirmed)</t>
        </is>
      </c>
      <c r="AL10" s="81" t="inlineStr">
        <is>
          <t>Unknown</t>
        </is>
      </c>
      <c r="AM10" s="81" t="inlineStr">
        <is>
          <t>Marble Bar (Strelley Pool is c. 34 km W on Six Mile Creek)</t>
        </is>
      </c>
      <c r="AN10" s="81" t="inlineStr">
        <is>
          <t>Cooler months, June to August (mean daily maximum c. 27 °C at Marble Bar); avoid December–January (often &gt;45 °C) and the December–March wet/cyclone season</t>
        </is>
      </c>
      <c r="AO10" s="113" t="inlineStr">
        <is>
          <t>Remote: Marble Bar is 152 km SE of Port Hedland, and Strelley Pool is c. 34 km W of Marble Bar. Road conditions and 4WD needs not confirmed from an official source.</t>
        </is>
      </c>
      <c r="AP10" s="113" t="inlineStr">
        <is>
          <t>Fieldwork has required permits from the Geological Survey of Western Australia; Duda et al. (2016) inspected the Trendall locality outcrop without sampling it. Strelley Pool is classified by the National Trust and listed as an indicative place on the Register of the National Estate.</t>
        </is>
      </c>
      <c r="AQ10" s="81" t="n">
        <v>3</v>
      </c>
      <c r="AR10" s="113" t="inlineStr">
        <is>
          <t>Extreme heat; Remoteness / no phone signal; Flash flood</t>
        </is>
      </c>
      <c r="AS10" s="113" t="inlineStr">
        <is>
          <t>Marble Bar holds the world record of 160 consecutive days at or above 37.8 °C, with a record high of 49.3 °C; cyclones can bring very heavy rain. Plan for heat, water and remote travel.</t>
        </is>
      </c>
      <c r="AT10" s="114" t="n"/>
      <c r="AU10" s="81" t="n"/>
      <c r="AV10" s="114" t="n">
        <v>46306</v>
      </c>
      <c r="AW10" s="114" t="n"/>
      <c r="AX10" s="81" t="inlineStr">
        <is>
          <t>Draft</t>
        </is>
      </c>
      <c r="AY10" s="113" t="inlineStr">
        <is>
          <t>Ratings are PROPOSALS by Claude: check against Rating scales, then fill rating_last_reviewed. geological_setting also: Hydrothermal / ore deposit Open issues: see Research log tab.</t>
        </is>
      </c>
      <c r="AZ10" s="115">
        <f>IF($B10="","",COUNTIF(References!$A$4:$A$503,$A10))</f>
        <v/>
      </c>
      <c r="BA10" s="115">
        <f>IF($B10="","",(LEN(A10)=0)+(LEN(B10)=0)+(LEN(D10)=0)+(LEN(G10)=0)+(LEN(H10)=0)+(LEN(I10)=0)+(LEN(J10)=0)+(LEN(L10)=0)+(LEN(M10)=0)+(LEN(O10)=0)+(LEN(R10)=0)+(LEN(X10)=0)+(LEN(AI10)=0)+(LEN(AJ10)=0)+(LEN(AQ10)=0)+(LEN(AR10)=0)+(LEN(AT10)=0)+(LEN(AU10)=0)+(LEN(AV10)=0)+(LEN(AX10)=0))</f>
        <v/>
      </c>
      <c r="BB10" s="115">
        <f>IF($B10="","",IF(AND(BA10=0,AZ10&gt;=1),"Complete","Incomplete"))</f>
        <v/>
      </c>
    </row>
    <row r="11" ht="34.5" customHeight="1" s="62">
      <c r="A11" s="81" t="inlineStr">
        <is>
          <t>shark-bay-hamelin-pool-au</t>
        </is>
      </c>
      <c r="B11" s="113" t="inlineStr">
        <is>
          <t>Hamelin Pool Marine Nature Reserve, Shark Bay</t>
        </is>
      </c>
      <c r="C11" s="81" t="inlineStr">
        <is>
          <t>Hamelin Pool; Shark Bay stromatolites</t>
        </is>
      </c>
      <c r="D11" s="81" t="inlineStr">
        <is>
          <t>Australia</t>
        </is>
      </c>
      <c r="E11" s="81" t="inlineStr">
        <is>
          <t>AU</t>
        </is>
      </c>
      <c r="F11" s="81" t="inlineStr">
        <is>
          <t>Gascoyne, Western Australia (Shark Bay World Heritage Area)</t>
        </is>
      </c>
      <c r="G11" s="81" t="n">
        <v>-26.44</v>
      </c>
      <c r="H11" s="81" t="n">
        <v>114.35</v>
      </c>
      <c r="I11" s="81" t="inlineStr">
        <is>
          <t>Region only</t>
        </is>
      </c>
      <c r="J11" s="81" t="inlineStr">
        <is>
          <t>Yes</t>
        </is>
      </c>
      <c r="K11" s="81" t="n">
        <v>1270</v>
      </c>
      <c r="L11" s="113" t="inlineStr">
        <is>
          <t>Hypersaline marine reserve in the Shark Bay World Heritage Area with the world's most diverse and abundant living marine stromatolites and microbial mats. A modern model for early-Earth microbial ecosystems and biosignatures.</t>
        </is>
      </c>
      <c r="M11" s="81" t="inlineStr">
        <is>
          <t>Early Earth</t>
        </is>
      </c>
      <c r="N11" s="81" t="inlineStr">
        <is>
          <t>Mars</t>
        </is>
      </c>
      <c r="O11" s="81" t="inlineStr">
        <is>
          <t>Habitability / biological</t>
        </is>
      </c>
      <c r="P11" s="81" t="inlineStr">
        <is>
          <t>Geochemical</t>
        </is>
      </c>
      <c r="Q11" s="113" t="inlineStr">
        <is>
          <t>Living marine stromatolites, microbialites and microbial mats (pustular, smooth and colloform mat types)</t>
        </is>
      </c>
      <c r="R11" s="113" t="inlineStr">
        <is>
          <t>Hamelin Pool's living stromatolites are modern counterparts of stromatolites found in the fossil record back to the Archean, so they serve as model systems for carbon cycling and microbial mat ecosystems. Metagenomics shows mats dominated by Proteobacteria and Cyanobacteria, with sulphate reducers and methanogens.</t>
        </is>
      </c>
      <c r="S11" s="113" t="inlineStr">
        <is>
          <t>Modern biota and an oxygenated atmosphere differ from Archean conditions; the sources opened do not discuss Mars directly, so the Mars link is indirect (via ancient stromatolite biosignatures).</t>
        </is>
      </c>
      <c r="T11" s="81" t="inlineStr">
        <is>
          <t>Sedimentary basin</t>
        </is>
      </c>
      <c r="U11" s="81" t="inlineStr">
        <is>
          <t>Microbial carbonate (stromatolites, microbialites); coquina (cockle-shell limestone)</t>
        </is>
      </c>
      <c r="V11" s="113" t="n"/>
      <c r="W11" s="81" t="n"/>
      <c r="X11" s="81" t="inlineStr">
        <is>
          <t>Hypersaline</t>
        </is>
      </c>
      <c r="Y11" s="81" t="n"/>
      <c r="Z11" s="81" t="n"/>
      <c r="AA11" s="81" t="n"/>
      <c r="AB11" s="81" t="n">
        <v>11</v>
      </c>
      <c r="AC11" s="81" t="n">
        <v>33</v>
      </c>
      <c r="AD11" s="81" t="inlineStr">
        <is>
          <t>About twice normal seawater; 54.5–56 ppt at Spaven Province sampling sites (April 2014), with 66–88 ppt reported across the pool</t>
        </is>
      </c>
      <c r="AE11" s="81" t="n"/>
      <c r="AF11" s="81" t="n"/>
      <c r="AG11" s="81" t="inlineStr">
        <is>
          <t>Yes</t>
        </is>
      </c>
      <c r="AH11" s="113" t="inlineStr">
        <is>
          <t>Cyanobacteria (Entophysalis, Dichothrix, Scytonema); Proteobacteria; Desulfovibrionales (sulphate reducers); methanogenic Euryarchaeota (Methanobacteriales); Thaumarchaeota</t>
        </is>
      </c>
      <c r="AI11" s="81" t="n">
        <v>2</v>
      </c>
      <c r="AJ11" s="81" t="inlineStr">
        <is>
          <t>Yes</t>
        </is>
      </c>
      <c r="AK11" s="113" t="inlineStr">
        <is>
          <t>Department of Biodiversity, Conservation and Attractions (DBCA), Western Australia (conditional licence for scientific access); Australian Government environment department for sample export/collection (cited in Babilonia et al. 2018)</t>
        </is>
      </c>
      <c r="AL11" s="81" t="inlineStr">
        <is>
          <t>Protected area / national park</t>
        </is>
      </c>
      <c r="AM11" s="81" t="inlineStr">
        <is>
          <t>Denham (c. 100 km NW); Overlander Roadhouse c. 35 km</t>
        </is>
      </c>
      <c r="AN11" s="81" t="n"/>
      <c r="AO11" s="113" t="inlineStr">
        <is>
          <t>27 km from the North West Coastal Highway via Shark Bay Road; sealed except a short 2WD-suitable unsealed section to the car park. 750 m return walk from the car park to the stromatolites.</t>
        </is>
      </c>
      <c r="AP11" s="113" t="inlineStr">
        <is>
          <t>Scientific access requires a conditional licence from DBCA. Walking below the high-water mark is not permitted; no swimming, snorkelling, diving or boating over stromatolites or within 300 m of shore; no fishing. Stay on the boardwalk/viewing area. Boardwalk closed since Cyclone Seroja damage; view from the temporary fence.</t>
        </is>
      </c>
      <c r="AQ11" s="81" t="n">
        <v>2</v>
      </c>
      <c r="AR11" s="113" t="inlineStr">
        <is>
          <t>Remoteness / no phone signal</t>
        </is>
      </c>
      <c r="AS11" s="113" t="inlineStr">
        <is>
          <t>DBCA advises planning your visit and carrying a personal locator beacon (PLB). Drones must follow CASA rules; never enter the water to retrieve one.</t>
        </is>
      </c>
      <c r="AT11" s="114" t="n"/>
      <c r="AU11" s="81" t="n"/>
      <c r="AV11" s="114" t="n">
        <v>46306</v>
      </c>
      <c r="AW11" s="114" t="n"/>
      <c r="AX11" s="81" t="inlineStr">
        <is>
          <t>Draft</t>
        </is>
      </c>
      <c r="AY11" s="113" t="inlineStr">
        <is>
          <t>Ratings are PROPOSALS by Claude: check against Rating scales, then fill rating_last_reviewed. land_status also: UNESCO site; Indigenous or community land Open issues: see Research log tab.</t>
        </is>
      </c>
      <c r="AZ11" s="115">
        <f>IF($B11="","",COUNTIF(References!$A$4:$A$503,$A11))</f>
        <v/>
      </c>
      <c r="BA11" s="115">
        <f>IF($B11="","",(LEN(A11)=0)+(LEN(B11)=0)+(LEN(D11)=0)+(LEN(G11)=0)+(LEN(H11)=0)+(LEN(I11)=0)+(LEN(J11)=0)+(LEN(L11)=0)+(LEN(M11)=0)+(LEN(O11)=0)+(LEN(R11)=0)+(LEN(X11)=0)+(LEN(AI11)=0)+(LEN(AJ11)=0)+(LEN(AQ11)=0)+(LEN(AR11)=0)+(LEN(AT11)=0)+(LEN(AU11)=0)+(LEN(AV11)=0)+(LEN(AX11)=0))</f>
        <v/>
      </c>
      <c r="BB11" s="115">
        <f>IF($B11="","",IF(AND(BA11=0,AZ11&gt;=1),"Complete","Incomplete"))</f>
        <v/>
      </c>
    </row>
    <row r="12" ht="34.5" customHeight="1" s="62">
      <c r="A12" s="81" t="inlineStr">
        <is>
          <t>arkaroola-au</t>
        </is>
      </c>
      <c r="B12" s="113" t="inlineStr">
        <is>
          <t>Arkaroola</t>
        </is>
      </c>
      <c r="C12" s="81" t="inlineStr">
        <is>
          <t>Arkaroola Wilderness Sanctuary; Arkaroola Protection Area; Mount Painter Inlier</t>
        </is>
      </c>
      <c r="D12" s="81" t="inlineStr">
        <is>
          <t>Australia</t>
        </is>
      </c>
      <c r="E12" s="81" t="inlineStr">
        <is>
          <t>AU</t>
        </is>
      </c>
      <c r="F12" s="81" t="inlineStr">
        <is>
          <t>Northern Flinders Ranges, South Australia</t>
        </is>
      </c>
      <c r="G12" s="81" t="n">
        <v>-30.312</v>
      </c>
      <c r="H12" s="81" t="n">
        <v>139.336</v>
      </c>
      <c r="I12" s="81" t="inlineStr">
        <is>
          <t>Approximately 10 km</t>
        </is>
      </c>
      <c r="J12" s="81" t="inlineStr">
        <is>
          <t>No</t>
        </is>
      </c>
      <c r="K12" s="81" t="n">
        <v>610</v>
      </c>
      <c r="L12" s="113" t="inlineStr">
        <is>
          <t>A 610 km² wilderness sanctuary in the northern Flinders Ranges, chosen by Mars Society Australia as its main Mars analogue research area. It has Neoproterozoic sediments and stromatolites, fossil hydrothermal systems (Mount Gee) and radioactive hot springs nearby (Paralana).</t>
        </is>
      </c>
      <c r="M12" s="81" t="inlineStr">
        <is>
          <t>Mars</t>
        </is>
      </c>
      <c r="N12" s="81" t="n"/>
      <c r="O12" s="81" t="inlineStr">
        <is>
          <t>Mineralogical</t>
        </is>
      </c>
      <c r="P12" s="81" t="inlineStr">
        <is>
          <t>Geological / geomorphological; Habitability / biological; Operational (instrument, rover or crew testing)</t>
        </is>
      </c>
      <c r="Q12" s="113" t="inlineStr">
        <is>
          <t>Fossil hydrothermal alteration and quartz-breccia systems in the Mount Painter Inlier (Mount Gee). Paralana radioactive hot springs with algal mats. Neoproterozoic stromatolites and ripple-laminated sandstones.</t>
        </is>
      </c>
      <c r="R12" s="113" t="inlineStr">
        <is>
          <t>Thomas &amp; Walter (2002) used airborne and field short-wave infrared hyperspectral data to map hydrothermal alteration in the Mount Painter Inlier, as a test for characterising putative hydrothermal deposits on Mars. Mars Society Australia uses the area's varied rocks, regolith and duricrusts for remote-sensing, instrument and simulated-base testing.</t>
        </is>
      </c>
      <c r="S12" s="113" t="n"/>
      <c r="T12" s="81" t="inlineStr">
        <is>
          <t>Hydrothermal / ore deposit</t>
        </is>
      </c>
      <c r="U12" s="81" t="inlineStr">
        <is>
          <t>Mesoproterozoic basement and uranium-bearing granite; quartz–hematite breccias; Wooltana Basalt; Neoproterozoic evaporitic, carbonate and clastic sediments (Callanna and Burra Groups); Sturtian tillites; stromatolites; iron, silica, carbonate and sulphate duricrusts</t>
        </is>
      </c>
      <c r="V12" s="113" t="inlineStr">
        <is>
          <t>Kaolinite; Muscovite; Biotite; K Feldspar; Halloysite; Quartz; Hematite</t>
        </is>
      </c>
      <c r="W12" s="81" t="inlineStr">
        <is>
          <t>Mesoproterozoic basement. Neoproterozoic sediments, including a stromatolite about 650 million years old. The main hydrothermal alteration is tentatively Permo-Carboniferous. Paralana springs are active today.</t>
        </is>
      </c>
      <c r="X12" s="81" t="inlineStr">
        <is>
          <t>Hot spring / hydrothermal</t>
        </is>
      </c>
      <c r="Y12" s="81" t="n"/>
      <c r="Z12" s="81" t="n"/>
      <c r="AA12" s="81" t="n"/>
      <c r="AB12" s="81" t="n"/>
      <c r="AC12" s="81" t="n">
        <v>80</v>
      </c>
      <c r="AD12" s="81" t="n"/>
      <c r="AE12" s="81" t="n"/>
      <c r="AF12" s="81" t="n">
        <v>640</v>
      </c>
      <c r="AG12" s="81" t="inlineStr">
        <is>
          <t>Yes</t>
        </is>
      </c>
      <c r="AH12" s="113" t="inlineStr">
        <is>
          <t>Algal mats on the floor of the Paralana hot springs in a high-radioactivity setting</t>
        </is>
      </c>
      <c r="AI12" s="81" t="n">
        <v>2</v>
      </c>
      <c r="AJ12" s="81" t="n"/>
      <c r="AK12" s="113" t="n"/>
      <c r="AL12" s="81" t="inlineStr">
        <is>
          <t>Private</t>
        </is>
      </c>
      <c r="AM12" s="81" t="n"/>
      <c r="AN12" s="81" t="n"/>
      <c r="AO12" s="113" t="inlineStr">
        <is>
          <t>About 600–700 km north of Adelaide, roughly 8 hours by road. Charter flights are available from Adelaide airfields. The sanctuary offers guided 4WD tours (e.g. the Ridgetop tour) as well as self-drive tracks and bushwalking.</t>
        </is>
      </c>
      <c r="AP12" s="113" t="n"/>
      <c r="AQ12" s="81" t="n">
        <v>2</v>
      </c>
      <c r="AR12" s="113" t="inlineStr">
        <is>
          <t>Toxic gas</t>
        </is>
      </c>
      <c r="AS12" s="113" t="inlineStr">
        <is>
          <t>Radon (heavier than air) is emitted at the Paralana hot springs, so prolonged stays near the springs may be a health hazard.</t>
        </is>
      </c>
      <c r="AT12" s="114" t="n"/>
      <c r="AU12" s="81" t="n"/>
      <c r="AV12" s="114" t="n">
        <v>46306</v>
      </c>
      <c r="AW12" s="114" t="n"/>
      <c r="AX12" s="81" t="inlineStr">
        <is>
          <t>Draft</t>
        </is>
      </c>
      <c r="AY12" s="113" t="inlineStr">
        <is>
          <t>Ratings are PROPOSALS by Claude: check against Rating scales, then fill rating_last_reviewed. geological_setting also: Sedimentary basin land_status also: Protected area / national park Open issues: see Research log tab.</t>
        </is>
      </c>
      <c r="AZ12" s="115">
        <f>IF($B12="","",COUNTIF(References!$A$4:$A$503,$A12))</f>
        <v/>
      </c>
      <c r="BA12" s="115">
        <f>IF($B12="","",(LEN(A12)=0)+(LEN(B12)=0)+(LEN(D12)=0)+(LEN(G12)=0)+(LEN(H12)=0)+(LEN(I12)=0)+(LEN(J12)=0)+(LEN(L12)=0)+(LEN(M12)=0)+(LEN(O12)=0)+(LEN(R12)=0)+(LEN(X12)=0)+(LEN(AI12)=0)+(LEN(AJ12)=0)+(LEN(AQ12)=0)+(LEN(AR12)=0)+(LEN(AT12)=0)+(LEN(AU12)=0)+(LEN(AV12)=0)+(LEN(AX12)=0))</f>
        <v/>
      </c>
      <c r="BB12" s="115">
        <f>IF($B12="","",IF(AND(BA12=0,AZ12&gt;=1),"Complete","Incomplete"))</f>
        <v/>
      </c>
    </row>
    <row r="13" ht="34.5" customHeight="1" s="62">
      <c r="A13" s="81" t="inlineStr">
        <is>
          <t>lanzarote-es</t>
        </is>
      </c>
      <c r="B13" s="113" t="inlineStr">
        <is>
          <t>Lanzarote</t>
        </is>
      </c>
      <c r="C13" s="81" t="inlineStr">
        <is>
          <t>Lanzarote and Chinijo Islands UNESCO Global Geopark; Timanfaya National Park</t>
        </is>
      </c>
      <c r="D13" s="81" t="inlineStr">
        <is>
          <t>Spain</t>
        </is>
      </c>
      <c r="E13" s="81" t="inlineStr">
        <is>
          <t>ES</t>
        </is>
      </c>
      <c r="F13" s="81" t="inlineStr">
        <is>
          <t>Canary Islands</t>
        </is>
      </c>
      <c r="G13" s="81" t="n">
        <v>29.039</v>
      </c>
      <c r="H13" s="81" t="n">
        <v>-13.638</v>
      </c>
      <c r="I13" s="81" t="inlineStr">
        <is>
          <t>Region only</t>
        </is>
      </c>
      <c r="J13" s="81" t="inlineStr">
        <is>
          <t>No</t>
        </is>
      </c>
      <c r="K13" s="81" t="n">
        <v>886.85</v>
      </c>
      <c r="L13" s="113" t="inlineStr">
        <is>
          <t>Volcanic island in the Canary Islands with young lava fields (Timanfaya eruptions of 1730–1736 and 1824) and lava tubes. A Mars and Moon analogue used by ESA for PANGAEA astronaut geology training and for lava-tube astrobiology studies.</t>
        </is>
      </c>
      <c r="M13" s="81" t="inlineStr">
        <is>
          <t>Mars</t>
        </is>
      </c>
      <c r="N13" s="81" t="inlineStr">
        <is>
          <t>Moon</t>
        </is>
      </c>
      <c r="O13" s="81" t="inlineStr">
        <is>
          <t>Volcanic</t>
        </is>
      </c>
      <c r="P13" s="81" t="inlineStr">
        <is>
          <t>Operational (instrument, rover or crew testing); Habitability / biological</t>
        </is>
      </c>
      <c r="Q13" s="113" t="inlineStr">
        <is>
          <t>Martian and lunar volcanic terrains and lava tubes; interaction of volcanic activity and water</t>
        </is>
      </c>
      <c r="R13" s="113" t="inlineStr">
        <is>
          <t>Lanzarote has been described as one of the best terrestrial analogues for Martian volcanology, and its barren volcanic landscape is used by ESA to train astronauts in planetary field geology. Its lava tubes host secondary minerals and microbial communities whose biosignatures (e.g. Ca-rich fluorapatite precipitates) inform life-detection strategies for Martian caves.</t>
        </is>
      </c>
      <c r="S13" s="113" t="n"/>
      <c r="T13" s="81" t="inlineStr">
        <is>
          <t>Volcanic</t>
        </is>
      </c>
      <c r="U13" s="81" t="n"/>
      <c r="V13" s="113" t="inlineStr">
        <is>
          <t>Calcite; Fluorapatite; Gypsum; Halite; Opal</t>
        </is>
      </c>
      <c r="W13" s="81" t="inlineStr">
        <is>
          <t>Geological processes active for more than 15 Ma; historical eruptions 1730–1736 and 1824 (Timanfaya)</t>
        </is>
      </c>
      <c r="X13" s="81" t="inlineStr">
        <is>
          <t>Lava field / lava tube</t>
        </is>
      </c>
      <c r="Y13" s="81" t="inlineStr">
        <is>
          <t>Cave; Hot spring / hydrothermal</t>
        </is>
      </c>
      <c r="Z13" s="81" t="n"/>
      <c r="AA13" s="81" t="n"/>
      <c r="AB13" s="81" t="n"/>
      <c r="AC13" s="81" t="n"/>
      <c r="AD13" s="81" t="n"/>
      <c r="AE13" s="81" t="n"/>
      <c r="AF13" s="81" t="n">
        <v>671</v>
      </c>
      <c r="AG13" s="81" t="inlineStr">
        <is>
          <t>Yes</t>
        </is>
      </c>
      <c r="AH13" s="113" t="inlineStr">
        <is>
          <t>Crossiella; halophilic and halotolerant chemoorganotrophic bacteria (lava tubes); Salinisphaera; Alcanivorax; Alicyclobacillus (La Corona lava tube); lichens (Timanfaya)</t>
        </is>
      </c>
      <c r="AI13" s="81" t="n">
        <v>2</v>
      </c>
      <c r="AJ13" s="81" t="inlineStr">
        <is>
          <t>Varies</t>
        </is>
      </c>
      <c r="AK13" s="113" t="inlineStr">
        <is>
          <t>Timanfaya National Park direction (Parques Nacionales de Canarias); Lanzarote and Chinijo Islands UNESCO Global Geopark / Cabildo de Lanzarote</t>
        </is>
      </c>
      <c r="AL13" s="81" t="inlineStr">
        <is>
          <t>Protected area / national park</t>
        </is>
      </c>
      <c r="AM13" s="81" t="inlineStr">
        <is>
          <t>Arrecife; Yaiza; Tinajo</t>
        </is>
      </c>
      <c r="AN13" s="81" t="n"/>
      <c r="AO13" s="113" t="inlineStr">
        <is>
          <t>Timanfaya is reached by road (LZ-67 from Yaiza or Tinajo). Private vehicles may drive to Islote de Hilario (fee at the Taro gate); the Ruta de los Volcanes is only by Cabildo bus; guided walks (e.g. Termesana) must be booked in advance at the Mancha Blanca Visitor Centre.</t>
        </is>
      </c>
      <c r="AP13" s="113" t="inlineStr">
        <is>
          <t>In Timanfaya it is not permitted to walk or drive outside areas set up for public use (fragile lichens); plant collecting is prohibited; free independent access only on the coastal path; the Restricted Use Zone needs prior authorisation from the park direction; the Reserve Zone (over 90% of the park) is open only for scientific or management purposes.</t>
        </is>
      </c>
      <c r="AQ13" s="81" t="n">
        <v>2</v>
      </c>
      <c r="AR13" s="113" t="inlineStr">
        <is>
          <t>Extreme heat</t>
        </is>
      </c>
      <c r="AS13" s="113" t="inlineStr">
        <is>
          <t>Timanfaya has geothermal anomalies with surface temperatures above 100 °C; about 277 °C has been recorded at 10 cm depth at Islote de Hilario. Keep to designated areas.</t>
        </is>
      </c>
      <c r="AT13" s="114" t="n"/>
      <c r="AU13" s="81" t="n"/>
      <c r="AV13" s="114" t="n">
        <v>46306</v>
      </c>
      <c r="AW13" s="114" t="n"/>
      <c r="AX13" s="81" t="inlineStr">
        <is>
          <t>Draft</t>
        </is>
      </c>
      <c r="AY13" s="113" t="inlineStr">
        <is>
          <t>Ratings are PROPOSALS by Claude: check against Rating scales, then fill rating_last_reviewed. land_status also: UNESCO site Open issues: see Research log tab.</t>
        </is>
      </c>
      <c r="AZ13" s="115">
        <f>IF($B13="","",COUNTIF(References!$A$4:$A$503,$A13))</f>
        <v/>
      </c>
      <c r="BA13" s="115">
        <f>IF($B13="","",(LEN(A13)=0)+(LEN(B13)=0)+(LEN(D13)=0)+(LEN(G13)=0)+(LEN(H13)=0)+(LEN(I13)=0)+(LEN(J13)=0)+(LEN(L13)=0)+(LEN(M13)=0)+(LEN(O13)=0)+(LEN(R13)=0)+(LEN(X13)=0)+(LEN(AI13)=0)+(LEN(AJ13)=0)+(LEN(AQ13)=0)+(LEN(AR13)=0)+(LEN(AT13)=0)+(LEN(AU13)=0)+(LEN(AV13)=0)+(LEN(AX13)=0))</f>
        <v/>
      </c>
      <c r="BB13" s="115">
        <f>IF($B13="","",IF(AND(BA13=0,AZ13&gt;=1),"Complete","Incomplete"))</f>
        <v/>
      </c>
    </row>
    <row r="14" ht="34.5" customHeight="1" s="62">
      <c r="A14" s="81" t="inlineStr">
        <is>
          <t>bockfjord-svalbard-sj</t>
        </is>
      </c>
      <c r="B14" s="113" t="inlineStr">
        <is>
          <t>Bockfjord Volcanic Complex</t>
        </is>
      </c>
      <c r="C14" s="81" t="inlineStr">
        <is>
          <t>Bockfjorden Volcanic Complex; Sverrefjell (Sverrefjellet); Sigurdfjell</t>
        </is>
      </c>
      <c r="D14" s="81" t="inlineStr">
        <is>
          <t>Norway (Svalbard)</t>
        </is>
      </c>
      <c r="E14" s="81" t="inlineStr">
        <is>
          <t>SJ</t>
        </is>
      </c>
      <c r="F14" s="81" t="inlineStr">
        <is>
          <t>Bockfjorden, Haakon VII Land, Spitsbergen, Svalbard</t>
        </is>
      </c>
      <c r="G14" s="81" t="n">
        <v>79.432</v>
      </c>
      <c r="H14" s="81" t="n">
        <v>13.305</v>
      </c>
      <c r="I14" s="81" t="inlineStr">
        <is>
          <t>Approximately 10 km</t>
        </is>
      </c>
      <c r="J14" s="81" t="inlineStr">
        <is>
          <t>Yes</t>
        </is>
      </c>
      <c r="K14" s="81" t="n"/>
      <c r="L14" s="113" t="inlineStr">
        <is>
          <t>Quaternary basaltic volcanoes (Sverrefjell, Sigurdfjell) beside Bockfjorden, Svalbard. They contain carbonate globules like those in Martian meteorite ALH84001, with warm springs nearby. A long-running AMASE site for testing Mars instruments and astrobiology methods.</t>
        </is>
      </c>
      <c r="M14" s="81" t="inlineStr">
        <is>
          <t>Mars</t>
        </is>
      </c>
      <c r="N14" s="81" t="n"/>
      <c r="O14" s="81" t="inlineStr">
        <is>
          <t>Mineralogical</t>
        </is>
      </c>
      <c r="P14" s="81" t="inlineStr">
        <is>
          <t>Geochemical; Volcanic; Habitability / biological; Operational (instrument, rover or crew testing)</t>
        </is>
      </c>
      <c r="Q14" s="113" t="inlineStr">
        <is>
          <t>Dolomite–magnesite carbonate globules in mantle xenoliths and lava vesicles; vent-hosted magnesite and carbonate-cemented lava breccias; Jotun and Troll warm springs</t>
        </is>
      </c>
      <c r="R14" s="113" t="inlineStr">
        <is>
          <t>Carbonate globules at Sverrefjell show carbonate and iron-oxide zoning similar to those in ALH84001, so they help test low-temperature hydrothermal and abiotic carbon-synthesis models for the meteorite. Breccia cements at Sverrefjell are an analogue for the Comanche carbonates at Gusev crater. AMASE has used the complex to test MSL and ExoMars instruments and contamination protocols.</t>
        </is>
      </c>
      <c r="S14" s="113" t="n"/>
      <c r="T14" s="81" t="inlineStr">
        <is>
          <t>Volcanic</t>
        </is>
      </c>
      <c r="U14" s="81" t="inlineStr">
        <is>
          <t>Basalt; peridotite (mantle xenoliths); carbonate-cemented lava breccia</t>
        </is>
      </c>
      <c r="V14" s="113" t="inlineStr">
        <is>
          <t>Calcite; Dolomite; Magnesite; Huntite; Aragonite; Magnetite; Olivine; Allophane</t>
        </is>
      </c>
      <c r="W14" s="81" t="inlineStr">
        <is>
          <t>Sverrefjell and Sigurdfjell formed in subglacial eruptions c. 1 Ma (Amundsen et al. 2011). Wikipedia gives Sverrefjellet's formation as c. 2.6 Ma, with a last eruption between 6 ka and 1 Ma.</t>
        </is>
      </c>
      <c r="X14" s="81" t="inlineStr">
        <is>
          <t>Hot spring / hydrothermal</t>
        </is>
      </c>
      <c r="Y14" s="81" t="inlineStr">
        <is>
          <t>Glacial / subglacial</t>
        </is>
      </c>
      <c r="Z14" s="81" t="n"/>
      <c r="AA14" s="81" t="n"/>
      <c r="AB14" s="81" t="n"/>
      <c r="AC14" s="81" t="n">
        <v>25.6</v>
      </c>
      <c r="AD14" s="81" t="n"/>
      <c r="AE14" s="81" t="n"/>
      <c r="AF14" s="81" t="n">
        <v>507</v>
      </c>
      <c r="AG14" s="81" t="n"/>
      <c r="AH14" s="113" t="n"/>
      <c r="AI14" s="81" t="n">
        <v>4</v>
      </c>
      <c r="AJ14" s="81" t="inlineStr">
        <is>
          <t>Yes</t>
        </is>
      </c>
      <c r="AK14" s="113" t="inlineStr">
        <is>
          <t>Governor of Svalbard (Sysselmesteren)</t>
        </is>
      </c>
      <c r="AL14" s="81" t="inlineStr">
        <is>
          <t>Protected area / national park</t>
        </is>
      </c>
      <c r="AM14" s="81" t="n"/>
      <c r="AN14" s="81" t="inlineStr">
        <is>
          <t>Summer (AMASE fieldwork has been in August)</t>
        </is>
      </c>
      <c r="AO14" s="113" t="n"/>
      <c r="AP14" s="113" t="inlineStr">
        <is>
          <t>Register every project and fieldwork location in the Research in Svalbard (RiS) database. Apply by the fixed deadlines (15 Jan, 1 Mar, 1 Jul, 1 Oct); processing takes up to 8 weeks, and fieldwork must not start before the Governor replies. Fieldwork in national parks usually needs an exemption from the Governor. Loose stones need no permit in principle, but the area's protection rules still apply. Fossil collecting in protected areas needs an application. Terrain interventions larger than 20 × 20 cm need permission. Pre-1946 cultural monuments are protected, with a 100 m zone. Work under the Svalbard Environmental Protection Act.</t>
        </is>
      </c>
      <c r="AQ14" s="81" t="n">
        <v>4</v>
      </c>
      <c r="AR14" s="113" t="inlineStr">
        <is>
          <t>Dangerous wildlife</t>
        </is>
      </c>
      <c r="AS14" s="113" t="inlineStr">
        <is>
          <t>Polar bears: anyone outside settlements must carry suitable means of scaring off polar bears, and the Governor recommends a firearm. Campsites must be secured against bears, and camps that need an application must keep an awake, organised bear guard whenever people are present. Anyone travelling outside Management Area 10 must carry an emergency beacon registered with the Governor. Satellite phones cannot dial 112.</t>
        </is>
      </c>
      <c r="AT14" s="114" t="n"/>
      <c r="AU14" s="81" t="n"/>
      <c r="AV14" s="114" t="n">
        <v>46306</v>
      </c>
      <c r="AW14" s="114" t="n"/>
      <c r="AX14" s="81" t="inlineStr">
        <is>
          <t>Draft</t>
        </is>
      </c>
      <c r="AY14" s="113" t="inlineStr">
        <is>
          <t>Ratings are PROPOSALS by Claude: check against Rating scales, then fill rating_last_reviewed. Open issues: see Research log tab.</t>
        </is>
      </c>
      <c r="AZ14" s="115">
        <f>IF($B14="","",COUNTIF(References!$A$4:$A$503,$A14))</f>
        <v/>
      </c>
      <c r="BA14" s="115">
        <f>IF($B14="","",(LEN(A14)=0)+(LEN(B14)=0)+(LEN(D14)=0)+(LEN(G14)=0)+(LEN(H14)=0)+(LEN(I14)=0)+(LEN(J14)=0)+(LEN(L14)=0)+(LEN(M14)=0)+(LEN(O14)=0)+(LEN(R14)=0)+(LEN(X14)=0)+(LEN(AI14)=0)+(LEN(AJ14)=0)+(LEN(AQ14)=0)+(LEN(AR14)=0)+(LEN(AT14)=0)+(LEN(AU14)=0)+(LEN(AV14)=0)+(LEN(AX14)=0))</f>
        <v/>
      </c>
      <c r="BB14" s="115">
        <f>IF($B14="","",IF(AND(BA14=0,AZ14&gt;=1),"Complete","Incomplete"))</f>
        <v/>
      </c>
    </row>
    <row r="15" ht="34.5" customHeight="1" s="62">
      <c r="A15" s="81" t="inlineStr">
        <is>
          <t>mauna-kea-us</t>
        </is>
      </c>
      <c r="B15" s="113" t="inlineStr">
        <is>
          <t>Mauna Kea</t>
        </is>
      </c>
      <c r="C15" s="81" t="inlineStr">
        <is>
          <t>Maunakea; Puʻu Hiwahine (2010 ISRU test site)</t>
        </is>
      </c>
      <c r="D15" s="81" t="inlineStr">
        <is>
          <t>United States</t>
        </is>
      </c>
      <c r="E15" s="81" t="inlineStr">
        <is>
          <t>US</t>
        </is>
      </c>
      <c r="F15" s="81" t="inlineStr">
        <is>
          <t>Hawaiʻi Island, Hawaii</t>
        </is>
      </c>
      <c r="G15" s="81" t="n">
        <v>19.821</v>
      </c>
      <c r="H15" s="81" t="n">
        <v>-155.468</v>
      </c>
      <c r="I15" s="81" t="inlineStr">
        <is>
          <t>Approximately 10 km</t>
        </is>
      </c>
      <c r="J15" s="81" t="inlineStr">
        <is>
          <t>Yes</t>
        </is>
      </c>
      <c r="K15" s="81" t="n"/>
      <c r="L15" s="113" t="inlineStr">
        <is>
          <t>Dormant shield volcano on Hawaiʻi Island whose fine-grained volcanic slopes hosted the 2010 and 2012 ILSO-ISRU field tests (PISCES, NASA, CSA, DLR, NORCAT) as a lunar and Mars analogue for instruments and resource extraction.</t>
        </is>
      </c>
      <c r="M15" s="81" t="inlineStr">
        <is>
          <t>Moon</t>
        </is>
      </c>
      <c r="N15" s="81" t="inlineStr">
        <is>
          <t>Mars</t>
        </is>
      </c>
      <c r="O15" s="81" t="inlineStr">
        <is>
          <t>Operational (instrument, rover or crew testing)</t>
        </is>
      </c>
      <c r="P15" s="81" t="inlineStr">
        <is>
          <t>Volcanic; Mineralogical</t>
        </is>
      </c>
      <c r="Q15" s="113" t="inlineStr">
        <is>
          <t>Fine-grained volcanic material and cinder-cone slopes (e.g. Puʻu Hiwahine, c. 2800 m) used for excavation, site preparation, mobility and ISRU instrument tests</t>
        </is>
      </c>
      <c r="R15" s="113" t="inlineStr">
        <is>
          <t>Mauna Kea hosted the 2010 ILSO-ISRU campaign, in which eight science teams tested and calibrated lunar in-situ instruments, and a 2012 follow-up under PISCES. Its fine-grained volcanic material is described as a suitable lunar and Martian analogue, and the site was proposed as a standard calibration location.</t>
        </is>
      </c>
      <c r="S15" s="113" t="inlineStr">
        <is>
          <t>An atmosphere, water and weathering make the material and conditions unlike the airless lunar surface; access and activities are limited by cultural, environmental and astronomical constraints.</t>
        </is>
      </c>
      <c r="T15" s="81" t="inlineStr">
        <is>
          <t>Volcanic</t>
        </is>
      </c>
      <c r="U15" s="81" t="inlineStr">
        <is>
          <t>Tholeiitic basalt; alkali basalt; hawaiite; mugearite; volcanic glass; gabbro</t>
        </is>
      </c>
      <c r="V15" s="113" t="n"/>
      <c r="W15" s="81" t="inlineStr">
        <is>
          <t>Volcano c. 1 million years old; oldest dated rock c. 237,000 years (±31,000)</t>
        </is>
      </c>
      <c r="X15" s="81" t="inlineStr">
        <is>
          <t>High altitude / high UV</t>
        </is>
      </c>
      <c r="Y15" s="81" t="inlineStr">
        <is>
          <t>Lava field / lava tube</t>
        </is>
      </c>
      <c r="Z15" s="81" t="n"/>
      <c r="AA15" s="81" t="n"/>
      <c r="AB15" s="81" t="n"/>
      <c r="AC15" s="81" t="n"/>
      <c r="AD15" s="81" t="n"/>
      <c r="AE15" s="81" t="n">
        <v>2800</v>
      </c>
      <c r="AF15" s="81" t="n">
        <v>4207</v>
      </c>
      <c r="AG15" s="81" t="n"/>
      <c r="AH15" s="113" t="n"/>
      <c r="AI15" s="81" t="n">
        <v>3</v>
      </c>
      <c r="AJ15" s="81" t="n"/>
      <c r="AK15" s="113" t="inlineStr">
        <is>
          <t>University of Hawaiʻi at Hilo Center for Maunakea Stewardship (formerly Office of Maunakea Management); Maunakea Stewardship and Oversight Authority (taking over management, transition from 1 July 2023)</t>
        </is>
      </c>
      <c r="AL15" s="81" t="inlineStr">
        <is>
          <t>Research station</t>
        </is>
      </c>
      <c r="AM15" s="81" t="inlineStr">
        <is>
          <t>Hilo</t>
        </is>
      </c>
      <c r="AN15" s="81" t="n"/>
      <c r="AO15" s="113" t="inlineStr">
        <is>
          <t>Saddle Road crosses the plateau between Mauna Kea and Mauna Loa. The summit road climbs nearly 5,000 ft over eight miles from the Visitor Information Station (2,804 m); it is unpaved, steep and requires dependable 4WD with low range above the VIS. No public fuel; arrive with at least half a tank. Summit open from 30 min before sunrise to 30 min after sunset.</t>
        </is>
      </c>
      <c r="AP15" s="113" t="inlineStr">
        <is>
          <t>Do not move, remove, collect or leave anything, including rocks. Rock piles may be cultural altars or markers protected by law. Stay on marked trails and roads; no off-road driving. Vehicles must be clean and free of invasive species.</t>
        </is>
      </c>
      <c r="AQ15" s="81" t="n">
        <v>4</v>
      </c>
      <c r="AR15" s="113" t="inlineStr">
        <is>
          <t>Altitude; Extreme cold; Remoteness / no phone signal</t>
        </is>
      </c>
      <c r="AS15" s="113" t="inlineStr">
        <is>
          <t>Acclimatise at least 30 minutes at the VIS (2,804 m) before going higher; descend immediately with altitude-illness symptoms. Children under 13, pregnant people, anyone who dived in the previous 24 hours or has heart, lung or blood-pressure conditions should not go above the VIS. Drink c. 500 ml per hour. Winter storms bring freezing temperatures, winds over 100 mph and white-outs. Intense UV. Mobile phones are for emergencies only; help may be hours away.</t>
        </is>
      </c>
      <c r="AT15" s="114" t="n"/>
      <c r="AU15" s="81" t="n"/>
      <c r="AV15" s="114" t="n">
        <v>46306</v>
      </c>
      <c r="AW15" s="114" t="n"/>
      <c r="AX15" s="81" t="inlineStr">
        <is>
          <t>Draft</t>
        </is>
      </c>
      <c r="AY15" s="113" t="inlineStr">
        <is>
          <t>Ratings are PROPOSALS by Claude: check against Rating scales, then fill rating_last_reviewed. Open issues: see Research log tab.</t>
        </is>
      </c>
      <c r="AZ15" s="115">
        <f>IF($B15="","",COUNTIF(References!$A$4:$A$503,$A15))</f>
        <v/>
      </c>
      <c r="BA15" s="115">
        <f>IF($B15="","",(LEN(A15)=0)+(LEN(B15)=0)+(LEN(D15)=0)+(LEN(G15)=0)+(LEN(H15)=0)+(LEN(I15)=0)+(LEN(J15)=0)+(LEN(L15)=0)+(LEN(M15)=0)+(LEN(O15)=0)+(LEN(R15)=0)+(LEN(X15)=0)+(LEN(AI15)=0)+(LEN(AJ15)=0)+(LEN(AQ15)=0)+(LEN(AR15)=0)+(LEN(AT15)=0)+(LEN(AU15)=0)+(LEN(AV15)=0)+(LEN(AX15)=0))</f>
        <v/>
      </c>
      <c r="BB15" s="115">
        <f>IF($B15="","",IF(AND(BA15=0,AZ15&gt;=1),"Complete","Incomplete"))</f>
        <v/>
      </c>
    </row>
    <row r="16" ht="34.5" customHeight="1" s="62">
      <c r="A16" s="81" t="inlineStr">
        <is>
          <t>boulby-mine-gb</t>
        </is>
      </c>
      <c r="B16" s="113" t="inlineStr">
        <is>
          <t>Boulby Mine</t>
        </is>
      </c>
      <c r="C16" s="81" t="inlineStr">
        <is>
          <t>Boulby Underground Laboratory; Palmer Lab</t>
        </is>
      </c>
      <c r="D16" s="81" t="inlineStr">
        <is>
          <t>United Kingdom</t>
        </is>
      </c>
      <c r="E16" s="81" t="inlineStr">
        <is>
          <t>GB</t>
        </is>
      </c>
      <c r="F16" s="81" t="inlineStr">
        <is>
          <t>North Yorkshire, England</t>
        </is>
      </c>
      <c r="G16" s="81" t="n">
        <v>54.553</v>
      </c>
      <c r="H16" s="81" t="n">
        <v>-0.825</v>
      </c>
      <c r="I16" s="81" t="inlineStr">
        <is>
          <t>Approximately 10 km</t>
        </is>
      </c>
      <c r="J16" s="81" t="inlineStr">
        <is>
          <t>No</t>
        </is>
      </c>
      <c r="K16" s="81" t="n"/>
      <c r="L16" s="113" t="inlineStr">
        <is>
          <t>Working potash and polyhalite mine on the North Yorkshire coast hosting the STFC Boulby Underground Laboratory 1.1 km below ground in ~250-million-year-old Zechstein evaporites. Used for Mars-analogue instrument testing (MINAR) and deep subsurface brine habitability studies.</t>
        </is>
      </c>
      <c r="M16" s="81" t="inlineStr">
        <is>
          <t>Mars</t>
        </is>
      </c>
      <c r="N16" s="81" t="n"/>
      <c r="O16" s="81" t="inlineStr">
        <is>
          <t>Operational (instrument, rover or crew testing)</t>
        </is>
      </c>
      <c r="P16" s="81" t="inlineStr">
        <is>
          <t>Habitability / biological; Mineralogical</t>
        </is>
      </c>
      <c r="Q16" s="113" t="inlineStr">
        <is>
          <t>Martian subsurface evaporites and brines</t>
        </is>
      </c>
      <c r="R16" s="113" t="inlineStr">
        <is>
          <t>The MINAR programme used Boulby's Permian evaporite sequence to test a planetary instrument suite (camera emulators, Raman, handheld XRD, drills) for characterising geological context and mineralogy at millimetre to metre scales. Subsurface brines in the mine show how ionic strength and water activity limit life, relevant to potentially habitable Martian brines.</t>
        </is>
      </c>
      <c r="S16" s="113" t="inlineStr">
        <is>
          <t>Active commercial mine with engineered roadways, air conditioning and human contamination; brines examined were not extreme in ionic strength.</t>
        </is>
      </c>
      <c r="T16" s="81" t="inlineStr">
        <is>
          <t>Evaporite basin</t>
        </is>
      </c>
      <c r="U16" s="81" t="inlineStr">
        <is>
          <t>Rock salt (halite); potash (sylvinite); polyhalite; dolomite; anhydrite; shale</t>
        </is>
      </c>
      <c r="V16" s="113" t="inlineStr">
        <is>
          <t>Halite; Sylvite; Polyhalite; Carnallite; Anhydrite; Dolomite</t>
        </is>
      </c>
      <c r="W16" s="81" t="inlineStr">
        <is>
          <t>Permian (Zechstein Sea evaporites, about 250 Ma)</t>
        </is>
      </c>
      <c r="X16" s="81" t="inlineStr">
        <is>
          <t>Evaporite</t>
        </is>
      </c>
      <c r="Y16" s="81" t="inlineStr">
        <is>
          <t>Hypersaline</t>
        </is>
      </c>
      <c r="Z16" s="81" t="n">
        <v>3.42</v>
      </c>
      <c r="AA16" s="81" t="n">
        <v>7.25</v>
      </c>
      <c r="AB16" s="81" t="n">
        <v>29.5</v>
      </c>
      <c r="AC16" s="81" t="n">
        <v>35.7</v>
      </c>
      <c r="AD16" s="81" t="inlineStr">
        <is>
          <t>Brine ionic strength 5.32–6.56 mol/L; Cl⁻ 159,347–209,639 mg/L; water activity 0.566–0.742</t>
        </is>
      </c>
      <c r="AE16" s="81" t="n"/>
      <c r="AF16" s="81" t="n"/>
      <c r="AG16" s="81" t="inlineStr">
        <is>
          <t>Yes</t>
        </is>
      </c>
      <c r="AH16" s="113" t="inlineStr">
        <is>
          <t>Halobacteriales archaea (Haloarcula, Natronomonas, Halogeometricum, Halomicrobium, Halobacterium); Proteobacteria; Bacteroidetes; Firmicutes</t>
        </is>
      </c>
      <c r="AI16" s="81" t="n">
        <v>5</v>
      </c>
      <c r="AJ16" s="81" t="inlineStr">
        <is>
          <t>Yes</t>
        </is>
      </c>
      <c r="AK16" s="113" t="inlineStr">
        <is>
          <t>STFC Boulby Underground Laboratory (with ICL-UK, mine operator)</t>
        </is>
      </c>
      <c r="AL16" s="81" t="inlineStr">
        <is>
          <t>Research station</t>
        </is>
      </c>
      <c r="AM16" s="81" t="inlineStr">
        <is>
          <t>Loftus</t>
        </is>
      </c>
      <c r="AN16" s="81" t="n"/>
      <c r="AO16" s="113" t="inlineStr">
        <is>
          <t>Surface facilities lie just south-east of Boulby village, about 4.3 km east of Loftus, between Saltburn and Whitby. The laboratory is about 1,100 m underground in an operating mine.</t>
        </is>
      </c>
      <c r="AP16" s="113" t="inlineStr">
        <is>
          <t>Access only by arrangement with the Boulby Underground Laboratory (contact the lab to discuss facility access); no public access.</t>
        </is>
      </c>
      <c r="AQ16" s="81" t="n">
        <v>3</v>
      </c>
      <c r="AR16" s="113" t="n"/>
      <c r="AS16" s="113" t="n"/>
      <c r="AT16" s="114" t="n"/>
      <c r="AU16" s="81" t="n"/>
      <c r="AV16" s="114" t="n">
        <v>46306</v>
      </c>
      <c r="AW16" s="114" t="n"/>
      <c r="AX16" s="81" t="inlineStr">
        <is>
          <t>Draft</t>
        </is>
      </c>
      <c r="AY16" s="113" t="inlineStr">
        <is>
          <t>Ratings are PROPOSALS by Claude: check against Rating scales, then fill rating_last_reviewed. Open issues: see Research log tab.</t>
        </is>
      </c>
      <c r="AZ16" s="115">
        <f>IF($B16="","",COUNTIF(References!$A$4:$A$503,$A16))</f>
        <v/>
      </c>
      <c r="BA16" s="115">
        <f>IF($B16="","",(LEN(A16)=0)+(LEN(B16)=0)+(LEN(D16)=0)+(LEN(G16)=0)+(LEN(H16)=0)+(LEN(I16)=0)+(LEN(J16)=0)+(LEN(L16)=0)+(LEN(M16)=0)+(LEN(O16)=0)+(LEN(R16)=0)+(LEN(X16)=0)+(LEN(AI16)=0)+(LEN(AJ16)=0)+(LEN(AQ16)=0)+(LEN(AR16)=0)+(LEN(AT16)=0)+(LEN(AU16)=0)+(LEN(AV16)=0)+(LEN(AX16)=0))</f>
        <v/>
      </c>
      <c r="BB16" s="115">
        <f>IF($B16="","",IF(AND(BA16=0,AZ16&gt;=1),"Complete","Incomplete"))</f>
        <v/>
      </c>
    </row>
    <row r="17" ht="34.5" customHeight="1" s="62">
      <c r="A17" s="81" t="inlineStr">
        <is>
          <t>lost-city-vent-field</t>
        </is>
      </c>
      <c r="B17" s="113" t="inlineStr">
        <is>
          <t>Lost City Hydrothermal Field</t>
        </is>
      </c>
      <c r="C17" s="81" t="inlineStr">
        <is>
          <t>Lost City; LCHF</t>
        </is>
      </c>
      <c r="D17" s="81" t="inlineStr">
        <is>
          <t>International waters (Mid-Atlantic Ridge)</t>
        </is>
      </c>
      <c r="E17" s="81" t="n"/>
      <c r="F17" s="81" t="inlineStr">
        <is>
          <t>Southern wall of the Atlantis Massif, near the intersection of the Mid-Atlantic Ridge and the Atlantis Fracture Zone, North Atlantic (~30°N)</t>
        </is>
      </c>
      <c r="G17" s="81" t="n">
        <v>30.117</v>
      </c>
      <c r="H17" s="81" t="n">
        <v>-42.117</v>
      </c>
      <c r="I17" s="81" t="inlineStr">
        <is>
          <t>Approximately 1 km</t>
        </is>
      </c>
      <c r="J17" s="81" t="inlineStr">
        <is>
          <t>No</t>
        </is>
      </c>
      <c r="K17" s="81" t="n"/>
      <c r="L17" s="113" t="inlineStr">
        <is>
          <t>Off-axis, serpentinite-hosted vent field at 750–900 m depth on the Atlantis Massif with carbonate–brucite chimneys up to 60 m tall venting warm (40–90 °C), highly alkaline (pH 9–11), H2- and CH4-rich fluids. A leading analogue for icy-moon seafloor hydrothermal systems.</t>
        </is>
      </c>
      <c r="M17" s="81" t="inlineStr">
        <is>
          <t>Enceladus</t>
        </is>
      </c>
      <c r="N17" s="81" t="inlineStr">
        <is>
          <t>Europa; Icy moons (general)</t>
        </is>
      </c>
      <c r="O17" s="81" t="inlineStr">
        <is>
          <t>Habitability / biological</t>
        </is>
      </c>
      <c r="P17" s="81" t="inlineStr">
        <is>
          <t>Geochemical; Mineralogical</t>
        </is>
      </c>
      <c r="Q17" s="113" t="inlineStr">
        <is>
          <t>Carbonate–brucite chimneys venting alkaline hydrogen- and methane-rich fluids from serpentinisation of mantle peridotite</t>
        </is>
      </c>
      <c r="R17" s="113" t="inlineStr">
        <is>
          <t>Venting is driven by serpentinisation, reactions between seawater and mantle peridotite that need only olivine-bearing rock and water and produce H2 and CH4. Comparable systems could exist on the seafloors of ocean worlds such as Enceladus and Europa. Methane-cycling archaea in the chimney interiors show that such systems can support chemosynthetic life without magmatic heat.</t>
        </is>
      </c>
      <c r="S17" s="113" t="inlineStr">
        <is>
          <t>Lost City sits in oxygenated Earth seawater and hosts macrofauna and photosynthesis-derived organic input from above, unlike the oceans of icy moons. Its ocean chemistry, pressure and rock compositions differ from those inferred for Enceladus or Europa.</t>
        </is>
      </c>
      <c r="T17" s="81" t="inlineStr">
        <is>
          <t>Hydrothermal / ore deposit</t>
        </is>
      </c>
      <c r="U17" s="81" t="inlineStr">
        <is>
          <t>Serpentinised peridotite (serpentinite); carbonate chimney deposits</t>
        </is>
      </c>
      <c r="V17" s="113" t="inlineStr">
        <is>
          <t>Aragonite; Calcite; Brucite; Magnetite</t>
        </is>
      </c>
      <c r="W17" s="81" t="inlineStr">
        <is>
          <t>Hosted on ~1.5 Myr-old crust ~15 km from the spreading axis; venting for more than 120,000 years (radiocarbon dating of the oldest chimney deposits)</t>
        </is>
      </c>
      <c r="X17" s="81" t="inlineStr">
        <is>
          <t>Deep-sea vent</t>
        </is>
      </c>
      <c r="Y17" s="81" t="inlineStr">
        <is>
          <t>Alkaline; Hot spring / hydrothermal</t>
        </is>
      </c>
      <c r="Z17" s="81" t="n">
        <v>9</v>
      </c>
      <c r="AA17" s="81" t="n">
        <v>11</v>
      </c>
      <c r="AB17" s="81" t="n">
        <v>40</v>
      </c>
      <c r="AC17" s="81" t="n">
        <v>90</v>
      </c>
      <c r="AD17" s="81" t="inlineStr">
        <is>
          <t>Seawater-derived vent fluids</t>
        </is>
      </c>
      <c r="AE17" s="81" t="n">
        <v>-900</v>
      </c>
      <c r="AF17" s="81" t="n">
        <v>-750</v>
      </c>
      <c r="AG17" s="81" t="inlineStr">
        <is>
          <t>Yes</t>
        </is>
      </c>
      <c r="AH17" s="113" t="inlineStr">
        <is>
          <t>Methane-cycling archaea (Methanosarcinales-like, ANME-1) in warm porous chimney interiors; anaerobic thermophiles; Bacillota and Pseudomonadota bacteria; diverse macrofauna but without the high chemosynthetic biomass of black-smoker fields</t>
        </is>
      </c>
      <c r="AI17" s="81" t="n">
        <v>5</v>
      </c>
      <c r="AJ17" s="81" t="inlineStr">
        <is>
          <t>Varies</t>
        </is>
      </c>
      <c r="AK17" s="113" t="n"/>
      <c r="AL17" s="81" t="inlineStr">
        <is>
          <t>Unknown</t>
        </is>
      </c>
      <c r="AM17" s="81" t="n"/>
      <c r="AN17" s="81" t="n"/>
      <c r="AO17" s="113" t="inlineStr">
        <is>
          <t>Accessible only by ocean-going research vessel with remotely operated vehicles or crewed submersible (e.g. the 2005 NOAA expedition used ROVs Argus and Hercules from NOAA Ship Ronald H. Brown, with live video relayed to shore). Discovered in 2000.</t>
        </is>
      </c>
      <c r="AP17" s="113" t="n"/>
      <c r="AQ17" s="81" t="n">
        <v>3</v>
      </c>
      <c r="AR17" s="113" t="inlineStr">
        <is>
          <t>Sea or tides; Remoteness / no phone signal</t>
        </is>
      </c>
      <c r="AS17" s="113" t="inlineStr">
        <is>
          <t>Visitors work aboard a research vessel in the open North Atlantic far from land; all seafloor work is by ROV or submersible.</t>
        </is>
      </c>
      <c r="AT17" s="114" t="n"/>
      <c r="AU17" s="81" t="n"/>
      <c r="AV17" s="114" t="n">
        <v>46306</v>
      </c>
      <c r="AW17" s="114" t="n"/>
      <c r="AX17" s="81" t="inlineStr">
        <is>
          <t>Draft</t>
        </is>
      </c>
      <c r="AY17" s="113" t="inlineStr">
        <is>
          <t>Ratings are PROPOSALS by Claude: check against Rating scales, then fill rating_last_reviewed. Open issues: see Research log tab.</t>
        </is>
      </c>
      <c r="AZ17" s="115">
        <f>IF($B17="","",COUNTIF(References!$A$4:$A$503,$A17))</f>
        <v/>
      </c>
      <c r="BA17" s="115">
        <f>IF($B17="","",(LEN(A17)=0)+(LEN(B17)=0)+(LEN(D17)=0)+(LEN(G17)=0)+(LEN(H17)=0)+(LEN(I17)=0)+(LEN(J17)=0)+(LEN(L17)=0)+(LEN(M17)=0)+(LEN(O17)=0)+(LEN(R17)=0)+(LEN(X17)=0)+(LEN(AI17)=0)+(LEN(AJ17)=0)+(LEN(AQ17)=0)+(LEN(AR17)=0)+(LEN(AT17)=0)+(LEN(AU17)=0)+(LEN(AV17)=0)+(LEN(AX17)=0))</f>
        <v/>
      </c>
      <c r="BB17" s="115">
        <f>IF($B17="","",IF(AND(BA17=0,AZ17&gt;=1),"Complete","Incomplete"))</f>
        <v/>
      </c>
    </row>
    <row r="18" ht="34.5" customHeight="1" s="62">
      <c r="A18" s="81" t="inlineStr">
        <is>
          <t>lake-vostok-aq</t>
        </is>
      </c>
      <c r="B18" s="113" t="inlineStr">
        <is>
          <t>Lake Vostok</t>
        </is>
      </c>
      <c r="C18" s="81" t="inlineStr">
        <is>
          <t>Subglacial Lake Vostok</t>
        </is>
      </c>
      <c r="D18" s="81" t="inlineStr">
        <is>
          <t>Antarctica</t>
        </is>
      </c>
      <c r="E18" s="81" t="inlineStr">
        <is>
          <t>AQ</t>
        </is>
      </c>
      <c r="F18" s="81" t="inlineStr">
        <is>
          <t>Beneath Vostok Station, central East Antarctic Ice Sheet</t>
        </is>
      </c>
      <c r="G18" s="81" t="n">
        <v>-77.5</v>
      </c>
      <c r="H18" s="81" t="n">
        <v>106</v>
      </c>
      <c r="I18" s="81" t="inlineStr">
        <is>
          <t>Approximately 10 km</t>
        </is>
      </c>
      <c r="J18" s="81" t="inlineStr">
        <is>
          <t>Yes</t>
        </is>
      </c>
      <c r="K18" s="81" t="n">
        <v>12500</v>
      </c>
      <c r="L18" s="113" t="inlineStr">
        <is>
          <t>Antarctica's largest known subglacial lake (~250 × 50 km) under ~3.7–4 km of ice beneath Russia's Vostok Station. Accretion ice frozen from lake water contains microbes, making it a key analogue for ice-covered oceans on Europa and Enceladus.</t>
        </is>
      </c>
      <c r="M18" s="81" t="inlineStr">
        <is>
          <t>Europa</t>
        </is>
      </c>
      <c r="N18" s="81" t="inlineStr">
        <is>
          <t>Enceladus; Icy moons (general)</t>
        </is>
      </c>
      <c r="O18" s="81" t="inlineStr">
        <is>
          <t>Habitability / biological</t>
        </is>
      </c>
      <c r="P18" s="81" t="inlineStr">
        <is>
          <t>Cryospheric; Hydrological</t>
        </is>
      </c>
      <c r="Q18" s="113" t="inlineStr">
        <is>
          <t>Subglacial lake water and accretion ice refrozen onto the base of the ice sheet</t>
        </is>
      </c>
      <c r="R18" s="113" t="inlineStr">
        <is>
          <t>Lake Vostok is a liquid-water body sealed under kilometres of ice under high pressure (~350 atm), at about −3 °C and in permanent darkness, comparable to the ice-covered oceans of Europa and Enceladus. Microbes in accretion ice indicate the lake may support life that must rely on chemical energy, informing life-detection and clean-sampling strategies for icy moons.</t>
        </is>
      </c>
      <c r="S18" s="113" t="inlineStr">
        <is>
          <t>The lake water has not been sampled cleanly; all biological evidence so far comes from accretion ice or borehole-frozen water, and contamination by drilling fluid is disputed. Ice cover (~4 km) is much thinner than predicted for Europa's shell, and the lake is oxygenated from air hydrates in melting glacier ice.</t>
        </is>
      </c>
      <c r="T18" s="81" t="inlineStr">
        <is>
          <t>Glacial</t>
        </is>
      </c>
      <c r="U18" s="81" t="n"/>
      <c r="V18" s="113" t="n"/>
      <c r="W18" s="81" t="inlineStr">
        <is>
          <t>Lake sealed beneath ice c. 15 million years ago (estimates 15–25 Ma); overlying ice holds c. 400,000 years of climate record</t>
        </is>
      </c>
      <c r="X18" s="81" t="inlineStr">
        <is>
          <t>Glacial / subglacial</t>
        </is>
      </c>
      <c r="Y18" s="81" t="n"/>
      <c r="Z18" s="81" t="n"/>
      <c r="AA18" s="81" t="n"/>
      <c r="AB18" s="81" t="n">
        <v>-3</v>
      </c>
      <c r="AC18" s="81" t="n">
        <v>-3</v>
      </c>
      <c r="AD18" s="81" t="inlineStr">
        <is>
          <t>Freshwater (described as a deep freshwater lake at discovery)</t>
        </is>
      </c>
      <c r="AE18" s="81" t="n"/>
      <c r="AF18" s="81" t="n">
        <v>3488</v>
      </c>
      <c r="AG18" s="81" t="inlineStr">
        <is>
          <t>Unknown</t>
        </is>
      </c>
      <c r="AH18" s="113" t="inlineStr">
        <is>
          <t>Accretion-ice microbes at 2.8 × 10^3–3.6 × 10^4 cells/mL related to alpha- and beta-Proteobacteria and Actinomycetes; viable Gram-negative bacteria; thermophile-related sequences such as Hydrogenophilus thermoluteolus; unknown bacterial phylotypes (AF532061, w123-10). Life in the lake water itself is unconfirmed.</t>
        </is>
      </c>
      <c r="AI18" s="81" t="n">
        <v>5</v>
      </c>
      <c r="AJ18" s="81" t="inlineStr">
        <is>
          <t>Yes</t>
        </is>
      </c>
      <c r="AK18" s="113" t="inlineStr">
        <is>
          <t>Competent national authority of the expedition's Antarctic Treaty Party (e.g. UK: FCDO Polar Regions Department); station access only through the Arctic and Antarctic Research Institute (Russia)</t>
        </is>
      </c>
      <c r="AL18" s="81" t="inlineStr">
        <is>
          <t>Research station</t>
        </is>
      </c>
      <c r="AM18" s="81" t="inlineStr">
        <is>
          <t>Vostok Station (Russia), above the lake</t>
        </is>
      </c>
      <c r="AN18" s="81" t="n"/>
      <c r="AO18" s="113" t="inlineStr">
        <is>
          <t>Only reachable through Vostok Station (78.465°S, 106.837°E; 3,488 m), a year-round Russian station administered by the Arctic and Antarctic Research Institute, historically supplied from Mirny Station; has a skiway. The lake surface lies ~4,000 m below the ice surface and was first reached by borehole on 6 February 2012.</t>
        </is>
      </c>
      <c r="AP18" s="113" t="inlineStr">
        <is>
          <t>Lake access only by deep borehole drilling. Clean-room facilities and a contaminant library are considered prerequisites for microbiological work; drilling stopped ~100 m above the lake in 1998 to avoid contamination. Antarctic Treaty permits required.</t>
        </is>
      </c>
      <c r="AQ18" s="81" t="n">
        <v>5</v>
      </c>
      <c r="AR18" s="113" t="inlineStr">
        <is>
          <t>Extreme cold; Altitude; Remoteness / no phone signal</t>
        </is>
      </c>
      <c r="AS18" s="113" t="inlineStr">
        <is>
          <t>Vostok Station holds the record low air temperature of −89.2 °C (mean annual about −55 °C). At 3,488 m, low oxygen causes headaches and nosebleeds and acclimatisation can take one to eight weeks. Extremely isolated, with about 30 staff in summer and 15 in winter.</t>
        </is>
      </c>
      <c r="AT18" s="114" t="n"/>
      <c r="AU18" s="81" t="n"/>
      <c r="AV18" s="114" t="n">
        <v>46306</v>
      </c>
      <c r="AW18" s="114" t="n"/>
      <c r="AX18" s="81" t="inlineStr">
        <is>
          <t>Draft</t>
        </is>
      </c>
      <c r="AY18" s="113" t="inlineStr">
        <is>
          <t>Ratings are PROPOSALS by Claude: check against Rating scales, then fill rating_last_reviewed. Open issues: see Research log tab.</t>
        </is>
      </c>
      <c r="AZ18" s="115">
        <f>IF($B18="","",COUNTIF(References!$A$4:$A$503,$A18))</f>
        <v/>
      </c>
      <c r="BA18" s="115">
        <f>IF($B18="","",(LEN(A18)=0)+(LEN(B18)=0)+(LEN(D18)=0)+(LEN(G18)=0)+(LEN(H18)=0)+(LEN(I18)=0)+(LEN(J18)=0)+(LEN(L18)=0)+(LEN(M18)=0)+(LEN(O18)=0)+(LEN(R18)=0)+(LEN(X18)=0)+(LEN(AI18)=0)+(LEN(AJ18)=0)+(LEN(AQ18)=0)+(LEN(AR18)=0)+(LEN(AT18)=0)+(LEN(AU18)=0)+(LEN(AV18)=0)+(LEN(AX18)=0))</f>
        <v/>
      </c>
      <c r="BB18" s="115">
        <f>IF($B18="","",IF(AND(BA18=0,AZ18&gt;=1),"Complete","Incomplete"))</f>
        <v/>
      </c>
    </row>
    <row r="19" ht="15" customHeight="1" s="62">
      <c r="A19" s="81" t="inlineStr">
        <is>
          <t>lava-beds-us</t>
        </is>
      </c>
      <c r="B19" s="113" t="inlineStr">
        <is>
          <t>Lava Beds National Monument</t>
        </is>
      </c>
      <c r="C19" s="81" t="n"/>
      <c r="D19" s="81" t="inlineStr">
        <is>
          <t>United States</t>
        </is>
      </c>
      <c r="E19" s="81" t="inlineStr">
        <is>
          <t>US</t>
        </is>
      </c>
      <c r="F19" s="81" t="inlineStr">
        <is>
          <t>Modoc and Siskiyou Counties, California (northern flank of Medicine Lake volcano)</t>
        </is>
      </c>
      <c r="G19" s="81" t="n">
        <v>41.71</v>
      </c>
      <c r="H19" s="81" t="n">
        <v>-121.51</v>
      </c>
      <c r="I19" s="81" t="inlineStr">
        <is>
          <t>Approximately 10 km</t>
        </is>
      </c>
      <c r="J19" s="81" t="inlineStr">
        <is>
          <t>No</t>
        </is>
      </c>
      <c r="K19" s="81" t="n">
        <v>189</v>
      </c>
      <c r="L19" s="113" t="inlineStr">
        <is>
          <t>More than 780 basaltic lava tube caves; used to test how lunar lava tubes could be detected and how stable they are</t>
        </is>
      </c>
      <c r="M19" s="81" t="inlineStr">
        <is>
          <t>Moon</t>
        </is>
      </c>
      <c r="N19" s="81" t="inlineStr">
        <is>
          <t>Mars</t>
        </is>
      </c>
      <c r="O19" s="81" t="inlineStr">
        <is>
          <t>Geological / geomorphological</t>
        </is>
      </c>
      <c r="P19" s="81" t="inlineStr">
        <is>
          <t>Operational (instrument, rover or crew testing); Habitability / biological</t>
        </is>
      </c>
      <c r="Q19" s="113" t="inlineStr">
        <is>
          <t>Lunar lava tubes and skylights</t>
        </is>
      </c>
      <c r="R19" s="113" t="inlineStr">
        <is>
          <t>Basaltic lava tubes with skylights and roof collapses resembling lunar tubes. Used to model magnetic anomalies for mapping lunar tubes from the surface (Bell et al. 2022) and to test lunar tube stability models with measured geometry and rock strength (Theinat et al. 2019). NASA BRAILLE also uses the caves as a Mars astrobiology analogue.</t>
        </is>
      </c>
      <c r="S19" s="113" t="inlineStr">
        <is>
          <t>Terrestrial tubes are much smaller (~30 m) than proposed lunar tubes; Earth has an atmosphere and weathering.</t>
        </is>
      </c>
      <c r="T19" s="81" t="inlineStr">
        <is>
          <t>Volcanic</t>
        </is>
      </c>
      <c r="U19" s="81" t="inlineStr">
        <is>
          <t>Basalt</t>
        </is>
      </c>
      <c r="V19" s="113" t="n"/>
      <c r="W19" s="81" t="n"/>
      <c r="X19" s="81" t="inlineStr">
        <is>
          <t>Lava field / lava tube</t>
        </is>
      </c>
      <c r="Y19" s="81" t="inlineStr">
        <is>
          <t>Cave</t>
        </is>
      </c>
      <c r="Z19" s="81" t="n"/>
      <c r="AA19" s="81" t="n"/>
      <c r="AB19" s="81" t="n">
        <v>10</v>
      </c>
      <c r="AC19" s="81" t="n">
        <v>13</v>
      </c>
      <c r="AD19" s="81" t="n"/>
      <c r="AE19" s="81" t="n"/>
      <c r="AF19" s="81" t="n"/>
      <c r="AG19" s="81" t="inlineStr">
        <is>
          <t>Yes</t>
        </is>
      </c>
      <c r="AH19" s="113" t="inlineStr">
        <is>
          <t>Bats, including possible maternity colonies</t>
        </is>
      </c>
      <c r="AI19" s="81" t="n">
        <v>2</v>
      </c>
      <c r="AJ19" s="81" t="inlineStr">
        <is>
          <t>Yes</t>
        </is>
      </c>
      <c r="AK19" s="113" t="inlineStr">
        <is>
          <t>Free caving permit from the Visitor Center (white-nose syndrome prevention). Research permits: contact the monument. https://www.nps.gov/labe/planyourvisit/caving.htm</t>
        </is>
      </c>
      <c r="AL19" s="81" t="inlineStr">
        <is>
          <t>Protected area / national park</t>
        </is>
      </c>
      <c r="AM19" s="81" t="inlineStr">
        <is>
          <t>Tulelake, California (services also in Tionesta, CA and Merrill, OR, c. 20–30 min from the Visitor Center)</t>
        </is>
      </c>
      <c r="AN19" s="81" t="inlineStr">
        <is>
          <t>Late spring to autumn: summer highs average 24–27 °C (75–80 °F); the Medicine Lake Road approach is open only mid-June to October and some southern roads may close November to mid-May. Snow is possible in any month; the monument and campground are open all year.</t>
        </is>
      </c>
      <c r="AO19" s="113" t="inlineStr">
        <is>
          <t>No public transport. About 1 hour from Klamath Falls, OR via OR 39, CA 161 and Hill Road; 1.5–2 hours from Weed, CA. Nearest airport Medford, OR (c. 2 hours). No fuel in the park; fill up in Klamath Falls, Merrill, Tulelake or Alturas. Limited mobile signal (some at the Visitor Center, which has WiFi). Winter: icy roads; FS 97, FS 49 and FS 10 may close.</t>
        </is>
      </c>
      <c r="AP19" s="113" t="inlineStr">
        <is>
          <t>Do not break formations or mark walls; ask the monument about research sampling permits.</t>
        </is>
      </c>
      <c r="AQ19" s="81" t="n">
        <v>3</v>
      </c>
      <c r="AR19" s="113" t="inlineStr">
        <is>
          <t>Unstable ground</t>
        </is>
      </c>
      <c r="AS19" s="113" t="inlineStr">
        <is>
          <t>Low ceilings, uneven footing, steep stairs and drop-offs from collapsed tubes; risk of disorientation in complex caves. Wear a helmet, carry several lights, never go alone. Some caves closed; check the current list.</t>
        </is>
      </c>
      <c r="AT19" s="114" t="n"/>
      <c r="AU19" s="81" t="n"/>
      <c r="AV19" s="114" t="n">
        <v>46306</v>
      </c>
      <c r="AW19" s="114" t="n"/>
      <c r="AX19" s="81" t="inlineStr">
        <is>
          <t>Draft</t>
        </is>
      </c>
      <c r="AY19" s="113" t="inlineStr">
        <is>
          <t>Coordinates approximate (monument area, ~189 km²). Ratings are PROPOSALS by Claude: check against Rating scales, then fill rating_last_reviewed. Open issues: see Research log tab.</t>
        </is>
      </c>
      <c r="AZ19" s="115">
        <f>IF($B19="","",COUNTIF(References!$A$4:$A$503,$A19))</f>
        <v/>
      </c>
      <c r="BA19" s="115">
        <f>IF($B19="","",(LEN(A19)=0)+(LEN(B19)=0)+(LEN(D19)=0)+(LEN(G19)=0)+(LEN(H19)=0)+(LEN(I19)=0)+(LEN(J19)=0)+(LEN(L19)=0)+(LEN(M19)=0)+(LEN(O19)=0)+(LEN(R19)=0)+(LEN(X19)=0)+(LEN(AI19)=0)+(LEN(AJ19)=0)+(LEN(AQ19)=0)+(LEN(AR19)=0)+(LEN(AT19)=0)+(LEN(AU19)=0)+(LEN(AV19)=0)+(LEN(AX19)=0))</f>
        <v/>
      </c>
      <c r="BB19" s="115">
        <f>IF($B19="","",IF(AND(BA19=0,AZ19&gt;=1),"Complete","Incomplete"))</f>
        <v/>
      </c>
    </row>
    <row r="20" ht="15" customHeight="1" s="62">
      <c r="A20" s="81" t="n"/>
      <c r="B20" s="113" t="n"/>
      <c r="C20" s="81" t="n"/>
      <c r="D20" s="81" t="n"/>
      <c r="E20" s="81" t="n"/>
      <c r="F20" s="81" t="n"/>
      <c r="G20" s="81" t="n"/>
      <c r="H20" s="81" t="n"/>
      <c r="I20" s="81" t="n"/>
      <c r="J20" s="81" t="n"/>
      <c r="K20" s="81" t="n"/>
      <c r="L20" s="113" t="n"/>
      <c r="M20" s="81" t="n"/>
      <c r="N20" s="81" t="n"/>
      <c r="O20" s="81" t="n"/>
      <c r="P20" s="81" t="n"/>
      <c r="Q20" s="113" t="n"/>
      <c r="R20" s="113" t="n"/>
      <c r="S20" s="113" t="n"/>
      <c r="T20" s="81" t="n"/>
      <c r="U20" s="81" t="n"/>
      <c r="V20" s="113" t="n"/>
      <c r="W20" s="81" t="n"/>
      <c r="X20" s="81" t="n"/>
      <c r="Y20" s="81" t="n"/>
      <c r="Z20" s="81" t="n"/>
      <c r="AA20" s="81" t="n"/>
      <c r="AB20" s="81" t="n"/>
      <c r="AC20" s="81" t="n"/>
      <c r="AD20" s="81" t="n"/>
      <c r="AE20" s="81" t="n"/>
      <c r="AF20" s="81" t="n"/>
      <c r="AG20" s="81" t="n"/>
      <c r="AH20" s="113" t="n"/>
      <c r="AI20" s="81" t="n"/>
      <c r="AJ20" s="81" t="n"/>
      <c r="AK20" s="113" t="n"/>
      <c r="AL20" s="81" t="n"/>
      <c r="AM20" s="81" t="n"/>
      <c r="AN20" s="81" t="n"/>
      <c r="AO20" s="113" t="n"/>
      <c r="AP20" s="113" t="n"/>
      <c r="AQ20" s="81" t="n"/>
      <c r="AR20" s="113" t="n"/>
      <c r="AS20" s="113" t="n"/>
      <c r="AT20" s="114" t="n"/>
      <c r="AU20" s="81" t="n"/>
      <c r="AV20" s="114" t="n"/>
      <c r="AW20" s="114" t="n"/>
      <c r="AX20" s="81" t="n"/>
      <c r="AY20" s="113" t="n"/>
      <c r="AZ20" s="115">
        <f>IF($B20="","",COUNTIF(References!$A$4:$A$503,$A20))</f>
        <v/>
      </c>
      <c r="BA20" s="115">
        <f>IF($B20="","",(LEN(A20)=0)+(LEN(B20)=0)+(LEN(D20)=0)+(LEN(G20)=0)+(LEN(H20)=0)+(LEN(I20)=0)+(LEN(J20)=0)+(LEN(L20)=0)+(LEN(M20)=0)+(LEN(O20)=0)+(LEN(R20)=0)+(LEN(X20)=0)+(LEN(AI20)=0)+(LEN(AJ20)=0)+(LEN(AQ20)=0)+(LEN(AR20)=0)+(LEN(AT20)=0)+(LEN(AU20)=0)+(LEN(AV20)=0)+(LEN(AX20)=0))</f>
        <v/>
      </c>
      <c r="BB20" s="115">
        <f>IF($B20="","",IF(AND(BA20=0,AZ20&gt;=1),"Complete","Incomplete"))</f>
        <v/>
      </c>
    </row>
    <row r="21" ht="15" customHeight="1" s="62">
      <c r="A21" s="81" t="n"/>
      <c r="B21" s="113" t="n"/>
      <c r="C21" s="81" t="n"/>
      <c r="D21" s="81" t="n"/>
      <c r="E21" s="81" t="n"/>
      <c r="F21" s="81" t="n"/>
      <c r="G21" s="81" t="n"/>
      <c r="H21" s="81" t="n"/>
      <c r="I21" s="81" t="n"/>
      <c r="J21" s="81" t="n"/>
      <c r="K21" s="81" t="n"/>
      <c r="L21" s="113" t="n"/>
      <c r="M21" s="81" t="n"/>
      <c r="N21" s="81" t="n"/>
      <c r="O21" s="81" t="n"/>
      <c r="P21" s="81" t="n"/>
      <c r="Q21" s="113" t="n"/>
      <c r="R21" s="113" t="n"/>
      <c r="S21" s="113" t="n"/>
      <c r="T21" s="81" t="n"/>
      <c r="U21" s="81" t="n"/>
      <c r="V21" s="113" t="n"/>
      <c r="W21" s="81" t="n"/>
      <c r="X21" s="81" t="n"/>
      <c r="Y21" s="81" t="n"/>
      <c r="Z21" s="81" t="n"/>
      <c r="AA21" s="81" t="n"/>
      <c r="AB21" s="81" t="n"/>
      <c r="AC21" s="81" t="n"/>
      <c r="AD21" s="81" t="n"/>
      <c r="AE21" s="81" t="n"/>
      <c r="AF21" s="81" t="n"/>
      <c r="AG21" s="81" t="n"/>
      <c r="AH21" s="113" t="n"/>
      <c r="AI21" s="81" t="n"/>
      <c r="AJ21" s="81" t="n"/>
      <c r="AK21" s="113" t="n"/>
      <c r="AL21" s="81" t="n"/>
      <c r="AM21" s="81" t="n"/>
      <c r="AN21" s="81" t="n"/>
      <c r="AO21" s="113" t="n"/>
      <c r="AP21" s="113" t="n"/>
      <c r="AQ21" s="81" t="n"/>
      <c r="AR21" s="113" t="n"/>
      <c r="AS21" s="113" t="n"/>
      <c r="AT21" s="114" t="n"/>
      <c r="AU21" s="81" t="n"/>
      <c r="AV21" s="114" t="n"/>
      <c r="AW21" s="114" t="n"/>
      <c r="AX21" s="81" t="n"/>
      <c r="AY21" s="113" t="n"/>
      <c r="AZ21" s="115">
        <f>IF($B21="","",COUNTIF(References!$A$4:$A$503,$A21))</f>
        <v/>
      </c>
      <c r="BA21" s="115">
        <f>IF($B21="","",(LEN(A21)=0)+(LEN(B21)=0)+(LEN(D21)=0)+(LEN(G21)=0)+(LEN(H21)=0)+(LEN(I21)=0)+(LEN(J21)=0)+(LEN(L21)=0)+(LEN(M21)=0)+(LEN(O21)=0)+(LEN(R21)=0)+(LEN(X21)=0)+(LEN(AI21)=0)+(LEN(AJ21)=0)+(LEN(AQ21)=0)+(LEN(AR21)=0)+(LEN(AT21)=0)+(LEN(AU21)=0)+(LEN(AV21)=0)+(LEN(AX21)=0))</f>
        <v/>
      </c>
      <c r="BB21" s="115">
        <f>IF($B21="","",IF(AND(BA21=0,AZ21&gt;=1),"Complete","Incomplete"))</f>
        <v/>
      </c>
    </row>
    <row r="22" ht="15" customHeight="1" s="62">
      <c r="A22" s="81" t="n"/>
      <c r="B22" s="113" t="n"/>
      <c r="C22" s="81" t="n"/>
      <c r="D22" s="81" t="n"/>
      <c r="E22" s="81" t="n"/>
      <c r="F22" s="81" t="n"/>
      <c r="G22" s="81" t="n"/>
      <c r="H22" s="81" t="n"/>
      <c r="I22" s="81" t="n"/>
      <c r="J22" s="81" t="n"/>
      <c r="K22" s="81" t="n"/>
      <c r="L22" s="113" t="n"/>
      <c r="M22" s="81" t="n"/>
      <c r="N22" s="81" t="n"/>
      <c r="O22" s="81" t="n"/>
      <c r="P22" s="81" t="n"/>
      <c r="Q22" s="113" t="n"/>
      <c r="R22" s="113" t="n"/>
      <c r="S22" s="113" t="n"/>
      <c r="T22" s="81" t="n"/>
      <c r="U22" s="81" t="n"/>
      <c r="V22" s="113" t="n"/>
      <c r="W22" s="81" t="n"/>
      <c r="X22" s="81" t="n"/>
      <c r="Y22" s="81" t="n"/>
      <c r="Z22" s="81" t="n"/>
      <c r="AA22" s="81" t="n"/>
      <c r="AB22" s="81" t="n"/>
      <c r="AC22" s="81" t="n"/>
      <c r="AD22" s="81" t="n"/>
      <c r="AE22" s="81" t="n"/>
      <c r="AF22" s="81" t="n"/>
      <c r="AG22" s="81" t="n"/>
      <c r="AH22" s="113" t="n"/>
      <c r="AI22" s="81" t="n"/>
      <c r="AJ22" s="81" t="n"/>
      <c r="AK22" s="113" t="n"/>
      <c r="AL22" s="81" t="n"/>
      <c r="AM22" s="81" t="n"/>
      <c r="AN22" s="81" t="n"/>
      <c r="AO22" s="113" t="n"/>
      <c r="AP22" s="113" t="n"/>
      <c r="AQ22" s="81" t="n"/>
      <c r="AR22" s="113" t="n"/>
      <c r="AS22" s="113" t="n"/>
      <c r="AT22" s="114" t="n"/>
      <c r="AU22" s="81" t="n"/>
      <c r="AV22" s="114" t="n"/>
      <c r="AW22" s="114" t="n"/>
      <c r="AX22" s="81" t="n"/>
      <c r="AY22" s="113" t="n"/>
      <c r="AZ22" s="115">
        <f>IF($B22="","",COUNTIF(References!$A$4:$A$503,$A22))</f>
        <v/>
      </c>
      <c r="BA22" s="115">
        <f>IF($B22="","",(LEN(A22)=0)+(LEN(B22)=0)+(LEN(D22)=0)+(LEN(G22)=0)+(LEN(H22)=0)+(LEN(I22)=0)+(LEN(J22)=0)+(LEN(L22)=0)+(LEN(M22)=0)+(LEN(O22)=0)+(LEN(R22)=0)+(LEN(X22)=0)+(LEN(AI22)=0)+(LEN(AJ22)=0)+(LEN(AQ22)=0)+(LEN(AR22)=0)+(LEN(AT22)=0)+(LEN(AU22)=0)+(LEN(AV22)=0)+(LEN(AX22)=0))</f>
        <v/>
      </c>
      <c r="BB22" s="115">
        <f>IF($B22="","",IF(AND(BA22=0,AZ22&gt;=1),"Complete","Incomplete"))</f>
        <v/>
      </c>
    </row>
    <row r="23" ht="15" customHeight="1" s="62">
      <c r="A23" s="81" t="n"/>
      <c r="B23" s="113" t="n"/>
      <c r="C23" s="81" t="n"/>
      <c r="D23" s="81" t="n"/>
      <c r="E23" s="81" t="n"/>
      <c r="F23" s="81" t="n"/>
      <c r="G23" s="81" t="n"/>
      <c r="H23" s="81" t="n"/>
      <c r="I23" s="81" t="n"/>
      <c r="J23" s="81" t="n"/>
      <c r="K23" s="81" t="n"/>
      <c r="L23" s="113" t="n"/>
      <c r="M23" s="81" t="n"/>
      <c r="N23" s="81" t="n"/>
      <c r="O23" s="81" t="n"/>
      <c r="P23" s="81" t="n"/>
      <c r="Q23" s="113" t="n"/>
      <c r="R23" s="113" t="n"/>
      <c r="S23" s="113" t="n"/>
      <c r="T23" s="81" t="n"/>
      <c r="U23" s="81" t="n"/>
      <c r="V23" s="113" t="n"/>
      <c r="W23" s="81" t="n"/>
      <c r="X23" s="81" t="n"/>
      <c r="Y23" s="81" t="n"/>
      <c r="Z23" s="81" t="n"/>
      <c r="AA23" s="81" t="n"/>
      <c r="AB23" s="81" t="n"/>
      <c r="AC23" s="81" t="n"/>
      <c r="AD23" s="81" t="n"/>
      <c r="AE23" s="81" t="n"/>
      <c r="AF23" s="81" t="n"/>
      <c r="AG23" s="81" t="n"/>
      <c r="AH23" s="113" t="n"/>
      <c r="AI23" s="81" t="n"/>
      <c r="AJ23" s="81" t="n"/>
      <c r="AK23" s="113" t="n"/>
      <c r="AL23" s="81" t="n"/>
      <c r="AM23" s="81" t="n"/>
      <c r="AN23" s="81" t="n"/>
      <c r="AO23" s="113" t="n"/>
      <c r="AP23" s="113" t="n"/>
      <c r="AQ23" s="81" t="n"/>
      <c r="AR23" s="113" t="n"/>
      <c r="AS23" s="113" t="n"/>
      <c r="AT23" s="114" t="n"/>
      <c r="AU23" s="81" t="n"/>
      <c r="AV23" s="114" t="n"/>
      <c r="AW23" s="114" t="n"/>
      <c r="AX23" s="81" t="n"/>
      <c r="AY23" s="113" t="n"/>
      <c r="AZ23" s="115">
        <f>IF($B23="","",COUNTIF(References!$A$4:$A$503,$A23))</f>
        <v/>
      </c>
      <c r="BA23" s="115">
        <f>IF($B23="","",(LEN(A23)=0)+(LEN(B23)=0)+(LEN(D23)=0)+(LEN(G23)=0)+(LEN(H23)=0)+(LEN(I23)=0)+(LEN(J23)=0)+(LEN(L23)=0)+(LEN(M23)=0)+(LEN(O23)=0)+(LEN(R23)=0)+(LEN(X23)=0)+(LEN(AI23)=0)+(LEN(AJ23)=0)+(LEN(AQ23)=0)+(LEN(AR23)=0)+(LEN(AT23)=0)+(LEN(AU23)=0)+(LEN(AV23)=0)+(LEN(AX23)=0))</f>
        <v/>
      </c>
      <c r="BB23" s="115">
        <f>IF($B23="","",IF(AND(BA23=0,AZ23&gt;=1),"Complete","Incomplete"))</f>
        <v/>
      </c>
    </row>
    <row r="24" ht="15" customHeight="1" s="62">
      <c r="A24" s="81" t="n"/>
      <c r="B24" s="113" t="n"/>
      <c r="C24" s="81" t="n"/>
      <c r="D24" s="81" t="n"/>
      <c r="E24" s="81" t="n"/>
      <c r="F24" s="81" t="n"/>
      <c r="G24" s="81" t="n"/>
      <c r="H24" s="81" t="n"/>
      <c r="I24" s="81" t="n"/>
      <c r="J24" s="81" t="n"/>
      <c r="K24" s="81" t="n"/>
      <c r="L24" s="113" t="n"/>
      <c r="M24" s="81" t="n"/>
      <c r="N24" s="81" t="n"/>
      <c r="O24" s="81" t="n"/>
      <c r="P24" s="81" t="n"/>
      <c r="Q24" s="113" t="n"/>
      <c r="R24" s="113" t="n"/>
      <c r="S24" s="113" t="n"/>
      <c r="T24" s="81" t="n"/>
      <c r="U24" s="81" t="n"/>
      <c r="V24" s="113" t="n"/>
      <c r="W24" s="81" t="n"/>
      <c r="X24" s="81" t="n"/>
      <c r="Y24" s="81" t="n"/>
      <c r="Z24" s="81" t="n"/>
      <c r="AA24" s="81" t="n"/>
      <c r="AB24" s="81" t="n"/>
      <c r="AC24" s="81" t="n"/>
      <c r="AD24" s="81" t="n"/>
      <c r="AE24" s="81" t="n"/>
      <c r="AF24" s="81" t="n"/>
      <c r="AG24" s="81" t="n"/>
      <c r="AH24" s="113" t="n"/>
      <c r="AI24" s="81" t="n"/>
      <c r="AJ24" s="81" t="n"/>
      <c r="AK24" s="113" t="n"/>
      <c r="AL24" s="81" t="n"/>
      <c r="AM24" s="81" t="n"/>
      <c r="AN24" s="81" t="n"/>
      <c r="AO24" s="113" t="n"/>
      <c r="AP24" s="113" t="n"/>
      <c r="AQ24" s="81" t="n"/>
      <c r="AR24" s="113" t="n"/>
      <c r="AS24" s="113" t="n"/>
      <c r="AT24" s="114" t="n"/>
      <c r="AU24" s="81" t="n"/>
      <c r="AV24" s="114" t="n"/>
      <c r="AW24" s="114" t="n"/>
      <c r="AX24" s="81" t="n"/>
      <c r="AY24" s="113" t="n"/>
      <c r="AZ24" s="115">
        <f>IF($B24="","",COUNTIF(References!$A$4:$A$503,$A24))</f>
        <v/>
      </c>
      <c r="BA24" s="115">
        <f>IF($B24="","",(LEN(A24)=0)+(LEN(B24)=0)+(LEN(D24)=0)+(LEN(G24)=0)+(LEN(H24)=0)+(LEN(I24)=0)+(LEN(J24)=0)+(LEN(L24)=0)+(LEN(M24)=0)+(LEN(O24)=0)+(LEN(R24)=0)+(LEN(X24)=0)+(LEN(AI24)=0)+(LEN(AJ24)=0)+(LEN(AQ24)=0)+(LEN(AR24)=0)+(LEN(AT24)=0)+(LEN(AU24)=0)+(LEN(AV24)=0)+(LEN(AX24)=0))</f>
        <v/>
      </c>
      <c r="BB24" s="115">
        <f>IF($B24="","",IF(AND(BA24=0,AZ24&gt;=1),"Complete","Incomplete"))</f>
        <v/>
      </c>
    </row>
    <row r="25" ht="15" customHeight="1" s="62">
      <c r="A25" s="81" t="n"/>
      <c r="B25" s="113" t="n"/>
      <c r="C25" s="81" t="n"/>
      <c r="D25" s="81" t="n"/>
      <c r="E25" s="81" t="n"/>
      <c r="F25" s="81" t="n"/>
      <c r="G25" s="81" t="n"/>
      <c r="H25" s="81" t="n"/>
      <c r="I25" s="81" t="n"/>
      <c r="J25" s="81" t="n"/>
      <c r="K25" s="81" t="n"/>
      <c r="L25" s="113" t="n"/>
      <c r="M25" s="81" t="n"/>
      <c r="N25" s="81" t="n"/>
      <c r="O25" s="81" t="n"/>
      <c r="P25" s="81" t="n"/>
      <c r="Q25" s="113" t="n"/>
      <c r="R25" s="113" t="n"/>
      <c r="S25" s="113" t="n"/>
      <c r="T25" s="81" t="n"/>
      <c r="U25" s="81" t="n"/>
      <c r="V25" s="113" t="n"/>
      <c r="W25" s="81" t="n"/>
      <c r="X25" s="81" t="n"/>
      <c r="Y25" s="81" t="n"/>
      <c r="Z25" s="81" t="n"/>
      <c r="AA25" s="81" t="n"/>
      <c r="AB25" s="81" t="n"/>
      <c r="AC25" s="81" t="n"/>
      <c r="AD25" s="81" t="n"/>
      <c r="AE25" s="81" t="n"/>
      <c r="AF25" s="81" t="n"/>
      <c r="AG25" s="81" t="n"/>
      <c r="AH25" s="113" t="n"/>
      <c r="AI25" s="81" t="n"/>
      <c r="AJ25" s="81" t="n"/>
      <c r="AK25" s="113" t="n"/>
      <c r="AL25" s="81" t="n"/>
      <c r="AM25" s="81" t="n"/>
      <c r="AN25" s="81" t="n"/>
      <c r="AO25" s="113" t="n"/>
      <c r="AP25" s="113" t="n"/>
      <c r="AQ25" s="81" t="n"/>
      <c r="AR25" s="113" t="n"/>
      <c r="AS25" s="113" t="n"/>
      <c r="AT25" s="114" t="n"/>
      <c r="AU25" s="81" t="n"/>
      <c r="AV25" s="114" t="n"/>
      <c r="AW25" s="114" t="n"/>
      <c r="AX25" s="81" t="n"/>
      <c r="AY25" s="113" t="n"/>
      <c r="AZ25" s="115">
        <f>IF($B25="","",COUNTIF(References!$A$4:$A$503,$A25))</f>
        <v/>
      </c>
      <c r="BA25" s="115">
        <f>IF($B25="","",(LEN(A25)=0)+(LEN(B25)=0)+(LEN(D25)=0)+(LEN(G25)=0)+(LEN(H25)=0)+(LEN(I25)=0)+(LEN(J25)=0)+(LEN(L25)=0)+(LEN(M25)=0)+(LEN(O25)=0)+(LEN(R25)=0)+(LEN(X25)=0)+(LEN(AI25)=0)+(LEN(AJ25)=0)+(LEN(AQ25)=0)+(LEN(AR25)=0)+(LEN(AT25)=0)+(LEN(AU25)=0)+(LEN(AV25)=0)+(LEN(AX25)=0))</f>
        <v/>
      </c>
      <c r="BB25" s="115">
        <f>IF($B25="","",IF(AND(BA25=0,AZ25&gt;=1),"Complete","Incomplete"))</f>
        <v/>
      </c>
    </row>
    <row r="26" ht="15" customHeight="1" s="62">
      <c r="A26" s="81" t="n"/>
      <c r="B26" s="113" t="n"/>
      <c r="C26" s="81" t="n"/>
      <c r="D26" s="81" t="n"/>
      <c r="E26" s="81" t="n"/>
      <c r="F26" s="81" t="n"/>
      <c r="G26" s="81" t="n"/>
      <c r="H26" s="81" t="n"/>
      <c r="I26" s="81" t="n"/>
      <c r="J26" s="81" t="n"/>
      <c r="K26" s="81" t="n"/>
      <c r="L26" s="113" t="n"/>
      <c r="M26" s="81" t="n"/>
      <c r="N26" s="81" t="n"/>
      <c r="O26" s="81" t="n"/>
      <c r="P26" s="81" t="n"/>
      <c r="Q26" s="113" t="n"/>
      <c r="R26" s="113" t="n"/>
      <c r="S26" s="113" t="n"/>
      <c r="T26" s="81" t="n"/>
      <c r="U26" s="81" t="n"/>
      <c r="V26" s="113" t="n"/>
      <c r="W26" s="81" t="n"/>
      <c r="X26" s="81" t="n"/>
      <c r="Y26" s="81" t="n"/>
      <c r="Z26" s="81" t="n"/>
      <c r="AA26" s="81" t="n"/>
      <c r="AB26" s="81" t="n"/>
      <c r="AC26" s="81" t="n"/>
      <c r="AD26" s="81" t="n"/>
      <c r="AE26" s="81" t="n"/>
      <c r="AF26" s="81" t="n"/>
      <c r="AG26" s="81" t="n"/>
      <c r="AH26" s="113" t="n"/>
      <c r="AI26" s="81" t="n"/>
      <c r="AJ26" s="81" t="n"/>
      <c r="AK26" s="113" t="n"/>
      <c r="AL26" s="81" t="n"/>
      <c r="AM26" s="81" t="n"/>
      <c r="AN26" s="81" t="n"/>
      <c r="AO26" s="113" t="n"/>
      <c r="AP26" s="113" t="n"/>
      <c r="AQ26" s="81" t="n"/>
      <c r="AR26" s="113" t="n"/>
      <c r="AS26" s="113" t="n"/>
      <c r="AT26" s="114" t="n"/>
      <c r="AU26" s="81" t="n"/>
      <c r="AV26" s="114" t="n"/>
      <c r="AW26" s="114" t="n"/>
      <c r="AX26" s="81" t="n"/>
      <c r="AY26" s="113" t="n"/>
      <c r="AZ26" s="115">
        <f>IF($B26="","",COUNTIF(References!$A$4:$A$503,$A26))</f>
        <v/>
      </c>
      <c r="BA26" s="115">
        <f>IF($B26="","",(LEN(A26)=0)+(LEN(B26)=0)+(LEN(D26)=0)+(LEN(G26)=0)+(LEN(H26)=0)+(LEN(I26)=0)+(LEN(J26)=0)+(LEN(L26)=0)+(LEN(M26)=0)+(LEN(O26)=0)+(LEN(R26)=0)+(LEN(X26)=0)+(LEN(AI26)=0)+(LEN(AJ26)=0)+(LEN(AQ26)=0)+(LEN(AR26)=0)+(LEN(AT26)=0)+(LEN(AU26)=0)+(LEN(AV26)=0)+(LEN(AX26)=0))</f>
        <v/>
      </c>
      <c r="BB26" s="115">
        <f>IF($B26="","",IF(AND(BA26=0,AZ26&gt;=1),"Complete","Incomplete"))</f>
        <v/>
      </c>
    </row>
    <row r="27" ht="15" customHeight="1" s="62">
      <c r="A27" s="81" t="n"/>
      <c r="B27" s="113" t="n"/>
      <c r="C27" s="81" t="n"/>
      <c r="D27" s="81" t="n"/>
      <c r="E27" s="81" t="n"/>
      <c r="F27" s="81" t="n"/>
      <c r="G27" s="81" t="n"/>
      <c r="H27" s="81" t="n"/>
      <c r="I27" s="81" t="n"/>
      <c r="J27" s="81" t="n"/>
      <c r="K27" s="81" t="n"/>
      <c r="L27" s="113" t="n"/>
      <c r="M27" s="81" t="n"/>
      <c r="N27" s="81" t="n"/>
      <c r="O27" s="81" t="n"/>
      <c r="P27" s="81" t="n"/>
      <c r="Q27" s="113" t="n"/>
      <c r="R27" s="113" t="n"/>
      <c r="S27" s="113" t="n"/>
      <c r="T27" s="81" t="n"/>
      <c r="U27" s="81" t="n"/>
      <c r="V27" s="113" t="n"/>
      <c r="W27" s="81" t="n"/>
      <c r="X27" s="81" t="n"/>
      <c r="Y27" s="81" t="n"/>
      <c r="Z27" s="81" t="n"/>
      <c r="AA27" s="81" t="n"/>
      <c r="AB27" s="81" t="n"/>
      <c r="AC27" s="81" t="n"/>
      <c r="AD27" s="81" t="n"/>
      <c r="AE27" s="81" t="n"/>
      <c r="AF27" s="81" t="n"/>
      <c r="AG27" s="81" t="n"/>
      <c r="AH27" s="113" t="n"/>
      <c r="AI27" s="81" t="n"/>
      <c r="AJ27" s="81" t="n"/>
      <c r="AK27" s="113" t="n"/>
      <c r="AL27" s="81" t="n"/>
      <c r="AM27" s="81" t="n"/>
      <c r="AN27" s="81" t="n"/>
      <c r="AO27" s="113" t="n"/>
      <c r="AP27" s="113" t="n"/>
      <c r="AQ27" s="81" t="n"/>
      <c r="AR27" s="113" t="n"/>
      <c r="AS27" s="113" t="n"/>
      <c r="AT27" s="114" t="n"/>
      <c r="AU27" s="81" t="n"/>
      <c r="AV27" s="114" t="n"/>
      <c r="AW27" s="114" t="n"/>
      <c r="AX27" s="81" t="n"/>
      <c r="AY27" s="113" t="n"/>
      <c r="AZ27" s="115">
        <f>IF($B27="","",COUNTIF(References!$A$4:$A$503,$A27))</f>
        <v/>
      </c>
      <c r="BA27" s="115">
        <f>IF($B27="","",(LEN(A27)=0)+(LEN(B27)=0)+(LEN(D27)=0)+(LEN(G27)=0)+(LEN(H27)=0)+(LEN(I27)=0)+(LEN(J27)=0)+(LEN(L27)=0)+(LEN(M27)=0)+(LEN(O27)=0)+(LEN(R27)=0)+(LEN(X27)=0)+(LEN(AI27)=0)+(LEN(AJ27)=0)+(LEN(AQ27)=0)+(LEN(AR27)=0)+(LEN(AT27)=0)+(LEN(AU27)=0)+(LEN(AV27)=0)+(LEN(AX27)=0))</f>
        <v/>
      </c>
      <c r="BB27" s="115">
        <f>IF($B27="","",IF(AND(BA27=0,AZ27&gt;=1),"Complete","Incomplete"))</f>
        <v/>
      </c>
    </row>
    <row r="28" ht="15" customHeight="1" s="62">
      <c r="A28" s="81" t="n"/>
      <c r="B28" s="113" t="n"/>
      <c r="C28" s="81" t="n"/>
      <c r="D28" s="81" t="n"/>
      <c r="E28" s="81" t="n"/>
      <c r="F28" s="81" t="n"/>
      <c r="G28" s="81" t="n"/>
      <c r="H28" s="81" t="n"/>
      <c r="I28" s="81" t="n"/>
      <c r="J28" s="81" t="n"/>
      <c r="K28" s="81" t="n"/>
      <c r="L28" s="113" t="n"/>
      <c r="M28" s="81" t="n"/>
      <c r="N28" s="81" t="n"/>
      <c r="O28" s="81" t="n"/>
      <c r="P28" s="81" t="n"/>
      <c r="Q28" s="113" t="n"/>
      <c r="R28" s="113" t="n"/>
      <c r="S28" s="113" t="n"/>
      <c r="T28" s="81" t="n"/>
      <c r="U28" s="81" t="n"/>
      <c r="V28" s="113" t="n"/>
      <c r="W28" s="81" t="n"/>
      <c r="X28" s="81" t="n"/>
      <c r="Y28" s="81" t="n"/>
      <c r="Z28" s="81" t="n"/>
      <c r="AA28" s="81" t="n"/>
      <c r="AB28" s="81" t="n"/>
      <c r="AC28" s="81" t="n"/>
      <c r="AD28" s="81" t="n"/>
      <c r="AE28" s="81" t="n"/>
      <c r="AF28" s="81" t="n"/>
      <c r="AG28" s="81" t="n"/>
      <c r="AH28" s="113" t="n"/>
      <c r="AI28" s="81" t="n"/>
      <c r="AJ28" s="81" t="n"/>
      <c r="AK28" s="113" t="n"/>
      <c r="AL28" s="81" t="n"/>
      <c r="AM28" s="81" t="n"/>
      <c r="AN28" s="81" t="n"/>
      <c r="AO28" s="113" t="n"/>
      <c r="AP28" s="113" t="n"/>
      <c r="AQ28" s="81" t="n"/>
      <c r="AR28" s="113" t="n"/>
      <c r="AS28" s="113" t="n"/>
      <c r="AT28" s="114" t="n"/>
      <c r="AU28" s="81" t="n"/>
      <c r="AV28" s="114" t="n"/>
      <c r="AW28" s="114" t="n"/>
      <c r="AX28" s="81" t="n"/>
      <c r="AY28" s="113" t="n"/>
      <c r="AZ28" s="115">
        <f>IF($B28="","",COUNTIF(References!$A$4:$A$503,$A28))</f>
        <v/>
      </c>
      <c r="BA28" s="115">
        <f>IF($B28="","",(LEN(A28)=0)+(LEN(B28)=0)+(LEN(D28)=0)+(LEN(G28)=0)+(LEN(H28)=0)+(LEN(I28)=0)+(LEN(J28)=0)+(LEN(L28)=0)+(LEN(M28)=0)+(LEN(O28)=0)+(LEN(R28)=0)+(LEN(X28)=0)+(LEN(AI28)=0)+(LEN(AJ28)=0)+(LEN(AQ28)=0)+(LEN(AR28)=0)+(LEN(AT28)=0)+(LEN(AU28)=0)+(LEN(AV28)=0)+(LEN(AX28)=0))</f>
        <v/>
      </c>
      <c r="BB28" s="115">
        <f>IF($B28="","",IF(AND(BA28=0,AZ28&gt;=1),"Complete","Incomplete"))</f>
        <v/>
      </c>
    </row>
    <row r="29" ht="15" customHeight="1" s="62">
      <c r="A29" s="81" t="n"/>
      <c r="B29" s="113" t="n"/>
      <c r="C29" s="81" t="n"/>
      <c r="D29" s="81" t="n"/>
      <c r="E29" s="81" t="n"/>
      <c r="F29" s="81" t="n"/>
      <c r="G29" s="81" t="n"/>
      <c r="H29" s="81" t="n"/>
      <c r="I29" s="81" t="n"/>
      <c r="J29" s="81" t="n"/>
      <c r="K29" s="81" t="n"/>
      <c r="L29" s="113" t="n"/>
      <c r="M29" s="81" t="n"/>
      <c r="N29" s="81" t="n"/>
      <c r="O29" s="81" t="n"/>
      <c r="P29" s="81" t="n"/>
      <c r="Q29" s="113" t="n"/>
      <c r="R29" s="113" t="n"/>
      <c r="S29" s="113" t="n"/>
      <c r="T29" s="81" t="n"/>
      <c r="U29" s="81" t="n"/>
      <c r="V29" s="113" t="n"/>
      <c r="W29" s="81" t="n"/>
      <c r="X29" s="81" t="n"/>
      <c r="Y29" s="81" t="n"/>
      <c r="Z29" s="81" t="n"/>
      <c r="AA29" s="81" t="n"/>
      <c r="AB29" s="81" t="n"/>
      <c r="AC29" s="81" t="n"/>
      <c r="AD29" s="81" t="n"/>
      <c r="AE29" s="81" t="n"/>
      <c r="AF29" s="81" t="n"/>
      <c r="AG29" s="81" t="n"/>
      <c r="AH29" s="113" t="n"/>
      <c r="AI29" s="81" t="n"/>
      <c r="AJ29" s="81" t="n"/>
      <c r="AK29" s="113" t="n"/>
      <c r="AL29" s="81" t="n"/>
      <c r="AM29" s="81" t="n"/>
      <c r="AN29" s="81" t="n"/>
      <c r="AO29" s="113" t="n"/>
      <c r="AP29" s="113" t="n"/>
      <c r="AQ29" s="81" t="n"/>
      <c r="AR29" s="113" t="n"/>
      <c r="AS29" s="113" t="n"/>
      <c r="AT29" s="114" t="n"/>
      <c r="AU29" s="81" t="n"/>
      <c r="AV29" s="114" t="n"/>
      <c r="AW29" s="114" t="n"/>
      <c r="AX29" s="81" t="n"/>
      <c r="AY29" s="113" t="n"/>
      <c r="AZ29" s="115">
        <f>IF($B29="","",COUNTIF(References!$A$4:$A$503,$A29))</f>
        <v/>
      </c>
      <c r="BA29" s="115">
        <f>IF($B29="","",(LEN(A29)=0)+(LEN(B29)=0)+(LEN(D29)=0)+(LEN(G29)=0)+(LEN(H29)=0)+(LEN(I29)=0)+(LEN(J29)=0)+(LEN(L29)=0)+(LEN(M29)=0)+(LEN(O29)=0)+(LEN(R29)=0)+(LEN(X29)=0)+(LEN(AI29)=0)+(LEN(AJ29)=0)+(LEN(AQ29)=0)+(LEN(AR29)=0)+(LEN(AT29)=0)+(LEN(AU29)=0)+(LEN(AV29)=0)+(LEN(AX29)=0))</f>
        <v/>
      </c>
      <c r="BB29" s="115">
        <f>IF($B29="","",IF(AND(BA29=0,AZ29&gt;=1),"Complete","Incomplete"))</f>
        <v/>
      </c>
    </row>
    <row r="30" ht="15" customHeight="1" s="62">
      <c r="A30" s="81" t="n"/>
      <c r="B30" s="113" t="n"/>
      <c r="C30" s="81" t="n"/>
      <c r="D30" s="81" t="n"/>
      <c r="E30" s="81" t="n"/>
      <c r="F30" s="81" t="n"/>
      <c r="G30" s="81" t="n"/>
      <c r="H30" s="81" t="n"/>
      <c r="I30" s="81" t="n"/>
      <c r="J30" s="81" t="n"/>
      <c r="K30" s="81" t="n"/>
      <c r="L30" s="113" t="n"/>
      <c r="M30" s="81" t="n"/>
      <c r="N30" s="81" t="n"/>
      <c r="O30" s="81" t="n"/>
      <c r="P30" s="81" t="n"/>
      <c r="Q30" s="113" t="n"/>
      <c r="R30" s="113" t="n"/>
      <c r="S30" s="113" t="n"/>
      <c r="T30" s="81" t="n"/>
      <c r="U30" s="81" t="n"/>
      <c r="V30" s="113" t="n"/>
      <c r="W30" s="81" t="n"/>
      <c r="X30" s="81" t="n"/>
      <c r="Y30" s="81" t="n"/>
      <c r="Z30" s="81" t="n"/>
      <c r="AA30" s="81" t="n"/>
      <c r="AB30" s="81" t="n"/>
      <c r="AC30" s="81" t="n"/>
      <c r="AD30" s="81" t="n"/>
      <c r="AE30" s="81" t="n"/>
      <c r="AF30" s="81" t="n"/>
      <c r="AG30" s="81" t="n"/>
      <c r="AH30" s="113" t="n"/>
      <c r="AI30" s="81" t="n"/>
      <c r="AJ30" s="81" t="n"/>
      <c r="AK30" s="113" t="n"/>
      <c r="AL30" s="81" t="n"/>
      <c r="AM30" s="81" t="n"/>
      <c r="AN30" s="81" t="n"/>
      <c r="AO30" s="113" t="n"/>
      <c r="AP30" s="113" t="n"/>
      <c r="AQ30" s="81" t="n"/>
      <c r="AR30" s="113" t="n"/>
      <c r="AS30" s="113" t="n"/>
      <c r="AT30" s="114" t="n"/>
      <c r="AU30" s="81" t="n"/>
      <c r="AV30" s="114" t="n"/>
      <c r="AW30" s="114" t="n"/>
      <c r="AX30" s="81" t="n"/>
      <c r="AY30" s="113" t="n"/>
      <c r="AZ30" s="115">
        <f>IF($B30="","",COUNTIF(References!$A$4:$A$503,$A30))</f>
        <v/>
      </c>
      <c r="BA30" s="115">
        <f>IF($B30="","",(LEN(A30)=0)+(LEN(B30)=0)+(LEN(D30)=0)+(LEN(G30)=0)+(LEN(H30)=0)+(LEN(I30)=0)+(LEN(J30)=0)+(LEN(L30)=0)+(LEN(M30)=0)+(LEN(O30)=0)+(LEN(R30)=0)+(LEN(X30)=0)+(LEN(AI30)=0)+(LEN(AJ30)=0)+(LEN(AQ30)=0)+(LEN(AR30)=0)+(LEN(AT30)=0)+(LEN(AU30)=0)+(LEN(AV30)=0)+(LEN(AX30)=0))</f>
        <v/>
      </c>
      <c r="BB30" s="115">
        <f>IF($B30="","",IF(AND(BA30=0,AZ30&gt;=1),"Complete","Incomplete"))</f>
        <v/>
      </c>
    </row>
    <row r="31" ht="15" customHeight="1" s="62">
      <c r="A31" s="81" t="n"/>
      <c r="B31" s="113" t="n"/>
      <c r="C31" s="81" t="n"/>
      <c r="D31" s="81" t="n"/>
      <c r="E31" s="81" t="n"/>
      <c r="F31" s="81" t="n"/>
      <c r="G31" s="81" t="n"/>
      <c r="H31" s="81" t="n"/>
      <c r="I31" s="81" t="n"/>
      <c r="J31" s="81" t="n"/>
      <c r="K31" s="81" t="n"/>
      <c r="L31" s="113" t="n"/>
      <c r="M31" s="81" t="n"/>
      <c r="N31" s="81" t="n"/>
      <c r="O31" s="81" t="n"/>
      <c r="P31" s="81" t="n"/>
      <c r="Q31" s="113" t="n"/>
      <c r="R31" s="113" t="n"/>
      <c r="S31" s="113" t="n"/>
      <c r="T31" s="81" t="n"/>
      <c r="U31" s="81" t="n"/>
      <c r="V31" s="113" t="n"/>
      <c r="W31" s="81" t="n"/>
      <c r="X31" s="81" t="n"/>
      <c r="Y31" s="81" t="n"/>
      <c r="Z31" s="81" t="n"/>
      <c r="AA31" s="81" t="n"/>
      <c r="AB31" s="81" t="n"/>
      <c r="AC31" s="81" t="n"/>
      <c r="AD31" s="81" t="n"/>
      <c r="AE31" s="81" t="n"/>
      <c r="AF31" s="81" t="n"/>
      <c r="AG31" s="81" t="n"/>
      <c r="AH31" s="113" t="n"/>
      <c r="AI31" s="81" t="n"/>
      <c r="AJ31" s="81" t="n"/>
      <c r="AK31" s="113" t="n"/>
      <c r="AL31" s="81" t="n"/>
      <c r="AM31" s="81" t="n"/>
      <c r="AN31" s="81" t="n"/>
      <c r="AO31" s="113" t="n"/>
      <c r="AP31" s="113" t="n"/>
      <c r="AQ31" s="81" t="n"/>
      <c r="AR31" s="113" t="n"/>
      <c r="AS31" s="113" t="n"/>
      <c r="AT31" s="114" t="n"/>
      <c r="AU31" s="81" t="n"/>
      <c r="AV31" s="114" t="n"/>
      <c r="AW31" s="114" t="n"/>
      <c r="AX31" s="81" t="n"/>
      <c r="AY31" s="113" t="n"/>
      <c r="AZ31" s="115">
        <f>IF($B31="","",COUNTIF(References!$A$4:$A$503,$A31))</f>
        <v/>
      </c>
      <c r="BA31" s="115">
        <f>IF($B31="","",(LEN(A31)=0)+(LEN(B31)=0)+(LEN(D31)=0)+(LEN(G31)=0)+(LEN(H31)=0)+(LEN(I31)=0)+(LEN(J31)=0)+(LEN(L31)=0)+(LEN(M31)=0)+(LEN(O31)=0)+(LEN(R31)=0)+(LEN(X31)=0)+(LEN(AI31)=0)+(LEN(AJ31)=0)+(LEN(AQ31)=0)+(LEN(AR31)=0)+(LEN(AT31)=0)+(LEN(AU31)=0)+(LEN(AV31)=0)+(LEN(AX31)=0))</f>
        <v/>
      </c>
      <c r="BB31" s="115">
        <f>IF($B31="","",IF(AND(BA31=0,AZ31&gt;=1),"Complete","Incomplete"))</f>
        <v/>
      </c>
    </row>
    <row r="32" ht="15" customHeight="1" s="62">
      <c r="A32" s="81" t="n"/>
      <c r="B32" s="113" t="n"/>
      <c r="C32" s="81" t="n"/>
      <c r="D32" s="81" t="n"/>
      <c r="E32" s="81" t="n"/>
      <c r="F32" s="81" t="n"/>
      <c r="G32" s="81" t="n"/>
      <c r="H32" s="81" t="n"/>
      <c r="I32" s="81" t="n"/>
      <c r="J32" s="81" t="n"/>
      <c r="K32" s="81" t="n"/>
      <c r="L32" s="113" t="n"/>
      <c r="M32" s="81" t="n"/>
      <c r="N32" s="81" t="n"/>
      <c r="O32" s="81" t="n"/>
      <c r="P32" s="81" t="n"/>
      <c r="Q32" s="113" t="n"/>
      <c r="R32" s="113" t="n"/>
      <c r="S32" s="113" t="n"/>
      <c r="T32" s="81" t="n"/>
      <c r="U32" s="81" t="n"/>
      <c r="V32" s="113" t="n"/>
      <c r="W32" s="81" t="n"/>
      <c r="X32" s="81" t="n"/>
      <c r="Y32" s="81" t="n"/>
      <c r="Z32" s="81" t="n"/>
      <c r="AA32" s="81" t="n"/>
      <c r="AB32" s="81" t="n"/>
      <c r="AC32" s="81" t="n"/>
      <c r="AD32" s="81" t="n"/>
      <c r="AE32" s="81" t="n"/>
      <c r="AF32" s="81" t="n"/>
      <c r="AG32" s="81" t="n"/>
      <c r="AH32" s="113" t="n"/>
      <c r="AI32" s="81" t="n"/>
      <c r="AJ32" s="81" t="n"/>
      <c r="AK32" s="113" t="n"/>
      <c r="AL32" s="81" t="n"/>
      <c r="AM32" s="81" t="n"/>
      <c r="AN32" s="81" t="n"/>
      <c r="AO32" s="113" t="n"/>
      <c r="AP32" s="113" t="n"/>
      <c r="AQ32" s="81" t="n"/>
      <c r="AR32" s="113" t="n"/>
      <c r="AS32" s="113" t="n"/>
      <c r="AT32" s="114" t="n"/>
      <c r="AU32" s="81" t="n"/>
      <c r="AV32" s="114" t="n"/>
      <c r="AW32" s="114" t="n"/>
      <c r="AX32" s="81" t="n"/>
      <c r="AY32" s="113" t="n"/>
      <c r="AZ32" s="115">
        <f>IF($B32="","",COUNTIF(References!$A$4:$A$503,$A32))</f>
        <v/>
      </c>
      <c r="BA32" s="115">
        <f>IF($B32="","",(LEN(A32)=0)+(LEN(B32)=0)+(LEN(D32)=0)+(LEN(G32)=0)+(LEN(H32)=0)+(LEN(I32)=0)+(LEN(J32)=0)+(LEN(L32)=0)+(LEN(M32)=0)+(LEN(O32)=0)+(LEN(R32)=0)+(LEN(X32)=0)+(LEN(AI32)=0)+(LEN(AJ32)=0)+(LEN(AQ32)=0)+(LEN(AR32)=0)+(LEN(AT32)=0)+(LEN(AU32)=0)+(LEN(AV32)=0)+(LEN(AX32)=0))</f>
        <v/>
      </c>
      <c r="BB32" s="115">
        <f>IF($B32="","",IF(AND(BA32=0,AZ32&gt;=1),"Complete","Incomplete"))</f>
        <v/>
      </c>
    </row>
    <row r="33" ht="15" customHeight="1" s="62">
      <c r="A33" s="81" t="n"/>
      <c r="B33" s="113" t="n"/>
      <c r="C33" s="81" t="n"/>
      <c r="D33" s="81" t="n"/>
      <c r="E33" s="81" t="n"/>
      <c r="F33" s="81" t="n"/>
      <c r="G33" s="81" t="n"/>
      <c r="H33" s="81" t="n"/>
      <c r="I33" s="81" t="n"/>
      <c r="J33" s="81" t="n"/>
      <c r="K33" s="81" t="n"/>
      <c r="L33" s="113" t="n"/>
      <c r="M33" s="81" t="n"/>
      <c r="N33" s="81" t="n"/>
      <c r="O33" s="81" t="n"/>
      <c r="P33" s="81" t="n"/>
      <c r="Q33" s="113" t="n"/>
      <c r="R33" s="113" t="n"/>
      <c r="S33" s="113" t="n"/>
      <c r="T33" s="81" t="n"/>
      <c r="U33" s="81" t="n"/>
      <c r="V33" s="113" t="n"/>
      <c r="W33" s="81" t="n"/>
      <c r="X33" s="81" t="n"/>
      <c r="Y33" s="81" t="n"/>
      <c r="Z33" s="81" t="n"/>
      <c r="AA33" s="81" t="n"/>
      <c r="AB33" s="81" t="n"/>
      <c r="AC33" s="81" t="n"/>
      <c r="AD33" s="81" t="n"/>
      <c r="AE33" s="81" t="n"/>
      <c r="AF33" s="81" t="n"/>
      <c r="AG33" s="81" t="n"/>
      <c r="AH33" s="113" t="n"/>
      <c r="AI33" s="81" t="n"/>
      <c r="AJ33" s="81" t="n"/>
      <c r="AK33" s="113" t="n"/>
      <c r="AL33" s="81" t="n"/>
      <c r="AM33" s="81" t="n"/>
      <c r="AN33" s="81" t="n"/>
      <c r="AO33" s="113" t="n"/>
      <c r="AP33" s="113" t="n"/>
      <c r="AQ33" s="81" t="n"/>
      <c r="AR33" s="113" t="n"/>
      <c r="AS33" s="113" t="n"/>
      <c r="AT33" s="114" t="n"/>
      <c r="AU33" s="81" t="n"/>
      <c r="AV33" s="114" t="n"/>
      <c r="AW33" s="114" t="n"/>
      <c r="AX33" s="81" t="n"/>
      <c r="AY33" s="113" t="n"/>
      <c r="AZ33" s="115">
        <f>IF($B33="","",COUNTIF(References!$A$4:$A$503,$A33))</f>
        <v/>
      </c>
      <c r="BA33" s="115">
        <f>IF($B33="","",(LEN(A33)=0)+(LEN(B33)=0)+(LEN(D33)=0)+(LEN(G33)=0)+(LEN(H33)=0)+(LEN(I33)=0)+(LEN(J33)=0)+(LEN(L33)=0)+(LEN(M33)=0)+(LEN(O33)=0)+(LEN(R33)=0)+(LEN(X33)=0)+(LEN(AI33)=0)+(LEN(AJ33)=0)+(LEN(AQ33)=0)+(LEN(AR33)=0)+(LEN(AT33)=0)+(LEN(AU33)=0)+(LEN(AV33)=0)+(LEN(AX33)=0))</f>
        <v/>
      </c>
      <c r="BB33" s="115">
        <f>IF($B33="","",IF(AND(BA33=0,AZ33&gt;=1),"Complete","Incomplete"))</f>
        <v/>
      </c>
    </row>
    <row r="34" ht="15" customHeight="1" s="62">
      <c r="A34" s="81" t="n"/>
      <c r="B34" s="113" t="n"/>
      <c r="C34" s="81" t="n"/>
      <c r="D34" s="81" t="n"/>
      <c r="E34" s="81" t="n"/>
      <c r="F34" s="81" t="n"/>
      <c r="G34" s="81" t="n"/>
      <c r="H34" s="81" t="n"/>
      <c r="I34" s="81" t="n"/>
      <c r="J34" s="81" t="n"/>
      <c r="K34" s="81" t="n"/>
      <c r="L34" s="113" t="n"/>
      <c r="M34" s="81" t="n"/>
      <c r="N34" s="81" t="n"/>
      <c r="O34" s="81" t="n"/>
      <c r="P34" s="81" t="n"/>
      <c r="Q34" s="113" t="n"/>
      <c r="R34" s="113" t="n"/>
      <c r="S34" s="113" t="n"/>
      <c r="T34" s="81" t="n"/>
      <c r="U34" s="81" t="n"/>
      <c r="V34" s="113" t="n"/>
      <c r="W34" s="81" t="n"/>
      <c r="X34" s="81" t="n"/>
      <c r="Y34" s="81" t="n"/>
      <c r="Z34" s="81" t="n"/>
      <c r="AA34" s="81" t="n"/>
      <c r="AB34" s="81" t="n"/>
      <c r="AC34" s="81" t="n"/>
      <c r="AD34" s="81" t="n"/>
      <c r="AE34" s="81" t="n"/>
      <c r="AF34" s="81" t="n"/>
      <c r="AG34" s="81" t="n"/>
      <c r="AH34" s="113" t="n"/>
      <c r="AI34" s="81" t="n"/>
      <c r="AJ34" s="81" t="n"/>
      <c r="AK34" s="113" t="n"/>
      <c r="AL34" s="81" t="n"/>
      <c r="AM34" s="81" t="n"/>
      <c r="AN34" s="81" t="n"/>
      <c r="AO34" s="113" t="n"/>
      <c r="AP34" s="113" t="n"/>
      <c r="AQ34" s="81" t="n"/>
      <c r="AR34" s="113" t="n"/>
      <c r="AS34" s="113" t="n"/>
      <c r="AT34" s="114" t="n"/>
      <c r="AU34" s="81" t="n"/>
      <c r="AV34" s="114" t="n"/>
      <c r="AW34" s="114" t="n"/>
      <c r="AX34" s="81" t="n"/>
      <c r="AY34" s="113" t="n"/>
      <c r="AZ34" s="115">
        <f>IF($B34="","",COUNTIF(References!$A$4:$A$503,$A34))</f>
        <v/>
      </c>
      <c r="BA34" s="115">
        <f>IF($B34="","",(LEN(A34)=0)+(LEN(B34)=0)+(LEN(D34)=0)+(LEN(G34)=0)+(LEN(H34)=0)+(LEN(I34)=0)+(LEN(J34)=0)+(LEN(L34)=0)+(LEN(M34)=0)+(LEN(O34)=0)+(LEN(R34)=0)+(LEN(X34)=0)+(LEN(AI34)=0)+(LEN(AJ34)=0)+(LEN(AQ34)=0)+(LEN(AR34)=0)+(LEN(AT34)=0)+(LEN(AU34)=0)+(LEN(AV34)=0)+(LEN(AX34)=0))</f>
        <v/>
      </c>
      <c r="BB34" s="115">
        <f>IF($B34="","",IF(AND(BA34=0,AZ34&gt;=1),"Complete","Incomplete"))</f>
        <v/>
      </c>
    </row>
    <row r="35" ht="15" customHeight="1" s="62">
      <c r="A35" s="81" t="n"/>
      <c r="B35" s="113" t="n"/>
      <c r="C35" s="81" t="n"/>
      <c r="D35" s="81" t="n"/>
      <c r="E35" s="81" t="n"/>
      <c r="F35" s="81" t="n"/>
      <c r="G35" s="81" t="n"/>
      <c r="H35" s="81" t="n"/>
      <c r="I35" s="81" t="n"/>
      <c r="J35" s="81" t="n"/>
      <c r="K35" s="81" t="n"/>
      <c r="L35" s="113" t="n"/>
      <c r="M35" s="81" t="n"/>
      <c r="N35" s="81" t="n"/>
      <c r="O35" s="81" t="n"/>
      <c r="P35" s="81" t="n"/>
      <c r="Q35" s="113" t="n"/>
      <c r="R35" s="113" t="n"/>
      <c r="S35" s="113" t="n"/>
      <c r="T35" s="81" t="n"/>
      <c r="U35" s="81" t="n"/>
      <c r="V35" s="113" t="n"/>
      <c r="W35" s="81" t="n"/>
      <c r="X35" s="81" t="n"/>
      <c r="Y35" s="81" t="n"/>
      <c r="Z35" s="81" t="n"/>
      <c r="AA35" s="81" t="n"/>
      <c r="AB35" s="81" t="n"/>
      <c r="AC35" s="81" t="n"/>
      <c r="AD35" s="81" t="n"/>
      <c r="AE35" s="81" t="n"/>
      <c r="AF35" s="81" t="n"/>
      <c r="AG35" s="81" t="n"/>
      <c r="AH35" s="113" t="n"/>
      <c r="AI35" s="81" t="n"/>
      <c r="AJ35" s="81" t="n"/>
      <c r="AK35" s="113" t="n"/>
      <c r="AL35" s="81" t="n"/>
      <c r="AM35" s="81" t="n"/>
      <c r="AN35" s="81" t="n"/>
      <c r="AO35" s="113" t="n"/>
      <c r="AP35" s="113" t="n"/>
      <c r="AQ35" s="81" t="n"/>
      <c r="AR35" s="113" t="n"/>
      <c r="AS35" s="113" t="n"/>
      <c r="AT35" s="114" t="n"/>
      <c r="AU35" s="81" t="n"/>
      <c r="AV35" s="114" t="n"/>
      <c r="AW35" s="114" t="n"/>
      <c r="AX35" s="81" t="n"/>
      <c r="AY35" s="113" t="n"/>
      <c r="AZ35" s="115">
        <f>IF($B35="","",COUNTIF(References!$A$4:$A$503,$A35))</f>
        <v/>
      </c>
      <c r="BA35" s="115">
        <f>IF($B35="","",(LEN(A35)=0)+(LEN(B35)=0)+(LEN(D35)=0)+(LEN(G35)=0)+(LEN(H35)=0)+(LEN(I35)=0)+(LEN(J35)=0)+(LEN(L35)=0)+(LEN(M35)=0)+(LEN(O35)=0)+(LEN(R35)=0)+(LEN(X35)=0)+(LEN(AI35)=0)+(LEN(AJ35)=0)+(LEN(AQ35)=0)+(LEN(AR35)=0)+(LEN(AT35)=0)+(LEN(AU35)=0)+(LEN(AV35)=0)+(LEN(AX35)=0))</f>
        <v/>
      </c>
      <c r="BB35" s="115">
        <f>IF($B35="","",IF(AND(BA35=0,AZ35&gt;=1),"Complete","Incomplete"))</f>
        <v/>
      </c>
    </row>
    <row r="36" ht="15" customHeight="1" s="62">
      <c r="A36" s="81" t="n"/>
      <c r="B36" s="113" t="n"/>
      <c r="C36" s="81" t="n"/>
      <c r="D36" s="81" t="n"/>
      <c r="E36" s="81" t="n"/>
      <c r="F36" s="81" t="n"/>
      <c r="G36" s="81" t="n"/>
      <c r="H36" s="81" t="n"/>
      <c r="I36" s="81" t="n"/>
      <c r="J36" s="81" t="n"/>
      <c r="K36" s="81" t="n"/>
      <c r="L36" s="113" t="n"/>
      <c r="M36" s="81" t="n"/>
      <c r="N36" s="81" t="n"/>
      <c r="O36" s="81" t="n"/>
      <c r="P36" s="81" t="n"/>
      <c r="Q36" s="113" t="n"/>
      <c r="R36" s="113" t="n"/>
      <c r="S36" s="113" t="n"/>
      <c r="T36" s="81" t="n"/>
      <c r="U36" s="81" t="n"/>
      <c r="V36" s="113" t="n"/>
      <c r="W36" s="81" t="n"/>
      <c r="X36" s="81" t="n"/>
      <c r="Y36" s="81" t="n"/>
      <c r="Z36" s="81" t="n"/>
      <c r="AA36" s="81" t="n"/>
      <c r="AB36" s="81" t="n"/>
      <c r="AC36" s="81" t="n"/>
      <c r="AD36" s="81" t="n"/>
      <c r="AE36" s="81" t="n"/>
      <c r="AF36" s="81" t="n"/>
      <c r="AG36" s="81" t="n"/>
      <c r="AH36" s="113" t="n"/>
      <c r="AI36" s="81" t="n"/>
      <c r="AJ36" s="81" t="n"/>
      <c r="AK36" s="113" t="n"/>
      <c r="AL36" s="81" t="n"/>
      <c r="AM36" s="81" t="n"/>
      <c r="AN36" s="81" t="n"/>
      <c r="AO36" s="113" t="n"/>
      <c r="AP36" s="113" t="n"/>
      <c r="AQ36" s="81" t="n"/>
      <c r="AR36" s="113" t="n"/>
      <c r="AS36" s="113" t="n"/>
      <c r="AT36" s="114" t="n"/>
      <c r="AU36" s="81" t="n"/>
      <c r="AV36" s="114" t="n"/>
      <c r="AW36" s="114" t="n"/>
      <c r="AX36" s="81" t="n"/>
      <c r="AY36" s="113" t="n"/>
      <c r="AZ36" s="115">
        <f>IF($B36="","",COUNTIF(References!$A$4:$A$503,$A36))</f>
        <v/>
      </c>
      <c r="BA36" s="115">
        <f>IF($B36="","",(LEN(A36)=0)+(LEN(B36)=0)+(LEN(D36)=0)+(LEN(G36)=0)+(LEN(H36)=0)+(LEN(I36)=0)+(LEN(J36)=0)+(LEN(L36)=0)+(LEN(M36)=0)+(LEN(O36)=0)+(LEN(R36)=0)+(LEN(X36)=0)+(LEN(AI36)=0)+(LEN(AJ36)=0)+(LEN(AQ36)=0)+(LEN(AR36)=0)+(LEN(AT36)=0)+(LEN(AU36)=0)+(LEN(AV36)=0)+(LEN(AX36)=0))</f>
        <v/>
      </c>
      <c r="BB36" s="115">
        <f>IF($B36="","",IF(AND(BA36=0,AZ36&gt;=1),"Complete","Incomplete"))</f>
        <v/>
      </c>
    </row>
    <row r="37" ht="15" customHeight="1" s="62">
      <c r="A37" s="81" t="n"/>
      <c r="B37" s="113" t="n"/>
      <c r="C37" s="81" t="n"/>
      <c r="D37" s="81" t="n"/>
      <c r="E37" s="81" t="n"/>
      <c r="F37" s="81" t="n"/>
      <c r="G37" s="81" t="n"/>
      <c r="H37" s="81" t="n"/>
      <c r="I37" s="81" t="n"/>
      <c r="J37" s="81" t="n"/>
      <c r="K37" s="81" t="n"/>
      <c r="L37" s="113" t="n"/>
      <c r="M37" s="81" t="n"/>
      <c r="N37" s="81" t="n"/>
      <c r="O37" s="81" t="n"/>
      <c r="P37" s="81" t="n"/>
      <c r="Q37" s="113" t="n"/>
      <c r="R37" s="113" t="n"/>
      <c r="S37" s="113" t="n"/>
      <c r="T37" s="81" t="n"/>
      <c r="U37" s="81" t="n"/>
      <c r="V37" s="113" t="n"/>
      <c r="W37" s="81" t="n"/>
      <c r="X37" s="81" t="n"/>
      <c r="Y37" s="81" t="n"/>
      <c r="Z37" s="81" t="n"/>
      <c r="AA37" s="81" t="n"/>
      <c r="AB37" s="81" t="n"/>
      <c r="AC37" s="81" t="n"/>
      <c r="AD37" s="81" t="n"/>
      <c r="AE37" s="81" t="n"/>
      <c r="AF37" s="81" t="n"/>
      <c r="AG37" s="81" t="n"/>
      <c r="AH37" s="113" t="n"/>
      <c r="AI37" s="81" t="n"/>
      <c r="AJ37" s="81" t="n"/>
      <c r="AK37" s="113" t="n"/>
      <c r="AL37" s="81" t="n"/>
      <c r="AM37" s="81" t="n"/>
      <c r="AN37" s="81" t="n"/>
      <c r="AO37" s="113" t="n"/>
      <c r="AP37" s="113" t="n"/>
      <c r="AQ37" s="81" t="n"/>
      <c r="AR37" s="113" t="n"/>
      <c r="AS37" s="113" t="n"/>
      <c r="AT37" s="114" t="n"/>
      <c r="AU37" s="81" t="n"/>
      <c r="AV37" s="114" t="n"/>
      <c r="AW37" s="114" t="n"/>
      <c r="AX37" s="81" t="n"/>
      <c r="AY37" s="113" t="n"/>
      <c r="AZ37" s="115">
        <f>IF($B37="","",COUNTIF(References!$A$4:$A$503,$A37))</f>
        <v/>
      </c>
      <c r="BA37" s="115">
        <f>IF($B37="","",(LEN(A37)=0)+(LEN(B37)=0)+(LEN(D37)=0)+(LEN(G37)=0)+(LEN(H37)=0)+(LEN(I37)=0)+(LEN(J37)=0)+(LEN(L37)=0)+(LEN(M37)=0)+(LEN(O37)=0)+(LEN(R37)=0)+(LEN(X37)=0)+(LEN(AI37)=0)+(LEN(AJ37)=0)+(LEN(AQ37)=0)+(LEN(AR37)=0)+(LEN(AT37)=0)+(LEN(AU37)=0)+(LEN(AV37)=0)+(LEN(AX37)=0))</f>
        <v/>
      </c>
      <c r="BB37" s="115">
        <f>IF($B37="","",IF(AND(BA37=0,AZ37&gt;=1),"Complete","Incomplete"))</f>
        <v/>
      </c>
    </row>
    <row r="38" ht="15" customHeight="1" s="62">
      <c r="A38" s="81" t="n"/>
      <c r="B38" s="113" t="n"/>
      <c r="C38" s="81" t="n"/>
      <c r="D38" s="81" t="n"/>
      <c r="E38" s="81" t="n"/>
      <c r="F38" s="81" t="n"/>
      <c r="G38" s="81" t="n"/>
      <c r="H38" s="81" t="n"/>
      <c r="I38" s="81" t="n"/>
      <c r="J38" s="81" t="n"/>
      <c r="K38" s="81" t="n"/>
      <c r="L38" s="113" t="n"/>
      <c r="M38" s="81" t="n"/>
      <c r="N38" s="81" t="n"/>
      <c r="O38" s="81" t="n"/>
      <c r="P38" s="81" t="n"/>
      <c r="Q38" s="113" t="n"/>
      <c r="R38" s="113" t="n"/>
      <c r="S38" s="113" t="n"/>
      <c r="T38" s="81" t="n"/>
      <c r="U38" s="81" t="n"/>
      <c r="V38" s="113" t="n"/>
      <c r="W38" s="81" t="n"/>
      <c r="X38" s="81" t="n"/>
      <c r="Y38" s="81" t="n"/>
      <c r="Z38" s="81" t="n"/>
      <c r="AA38" s="81" t="n"/>
      <c r="AB38" s="81" t="n"/>
      <c r="AC38" s="81" t="n"/>
      <c r="AD38" s="81" t="n"/>
      <c r="AE38" s="81" t="n"/>
      <c r="AF38" s="81" t="n"/>
      <c r="AG38" s="81" t="n"/>
      <c r="AH38" s="113" t="n"/>
      <c r="AI38" s="81" t="n"/>
      <c r="AJ38" s="81" t="n"/>
      <c r="AK38" s="113" t="n"/>
      <c r="AL38" s="81" t="n"/>
      <c r="AM38" s="81" t="n"/>
      <c r="AN38" s="81" t="n"/>
      <c r="AO38" s="113" t="n"/>
      <c r="AP38" s="113" t="n"/>
      <c r="AQ38" s="81" t="n"/>
      <c r="AR38" s="113" t="n"/>
      <c r="AS38" s="113" t="n"/>
      <c r="AT38" s="114" t="n"/>
      <c r="AU38" s="81" t="n"/>
      <c r="AV38" s="114" t="n"/>
      <c r="AW38" s="114" t="n"/>
      <c r="AX38" s="81" t="n"/>
      <c r="AY38" s="113" t="n"/>
      <c r="AZ38" s="115">
        <f>IF($B38="","",COUNTIF(References!$A$4:$A$503,$A38))</f>
        <v/>
      </c>
      <c r="BA38" s="115">
        <f>IF($B38="","",(LEN(A38)=0)+(LEN(B38)=0)+(LEN(D38)=0)+(LEN(G38)=0)+(LEN(H38)=0)+(LEN(I38)=0)+(LEN(J38)=0)+(LEN(L38)=0)+(LEN(M38)=0)+(LEN(O38)=0)+(LEN(R38)=0)+(LEN(X38)=0)+(LEN(AI38)=0)+(LEN(AJ38)=0)+(LEN(AQ38)=0)+(LEN(AR38)=0)+(LEN(AT38)=0)+(LEN(AU38)=0)+(LEN(AV38)=0)+(LEN(AX38)=0))</f>
        <v/>
      </c>
      <c r="BB38" s="115">
        <f>IF($B38="","",IF(AND(BA38=0,AZ38&gt;=1),"Complete","Incomplete"))</f>
        <v/>
      </c>
    </row>
    <row r="39" ht="15" customHeight="1" s="62">
      <c r="A39" s="81" t="n"/>
      <c r="B39" s="113" t="n"/>
      <c r="C39" s="81" t="n"/>
      <c r="D39" s="81" t="n"/>
      <c r="E39" s="81" t="n"/>
      <c r="F39" s="81" t="n"/>
      <c r="G39" s="81" t="n"/>
      <c r="H39" s="81" t="n"/>
      <c r="I39" s="81" t="n"/>
      <c r="J39" s="81" t="n"/>
      <c r="K39" s="81" t="n"/>
      <c r="L39" s="113" t="n"/>
      <c r="M39" s="81" t="n"/>
      <c r="N39" s="81" t="n"/>
      <c r="O39" s="81" t="n"/>
      <c r="P39" s="81" t="n"/>
      <c r="Q39" s="113" t="n"/>
      <c r="R39" s="113" t="n"/>
      <c r="S39" s="113" t="n"/>
      <c r="T39" s="81" t="n"/>
      <c r="U39" s="81" t="n"/>
      <c r="V39" s="113" t="n"/>
      <c r="W39" s="81" t="n"/>
      <c r="X39" s="81" t="n"/>
      <c r="Y39" s="81" t="n"/>
      <c r="Z39" s="81" t="n"/>
      <c r="AA39" s="81" t="n"/>
      <c r="AB39" s="81" t="n"/>
      <c r="AC39" s="81" t="n"/>
      <c r="AD39" s="81" t="n"/>
      <c r="AE39" s="81" t="n"/>
      <c r="AF39" s="81" t="n"/>
      <c r="AG39" s="81" t="n"/>
      <c r="AH39" s="113" t="n"/>
      <c r="AI39" s="81" t="n"/>
      <c r="AJ39" s="81" t="n"/>
      <c r="AK39" s="113" t="n"/>
      <c r="AL39" s="81" t="n"/>
      <c r="AM39" s="81" t="n"/>
      <c r="AN39" s="81" t="n"/>
      <c r="AO39" s="113" t="n"/>
      <c r="AP39" s="113" t="n"/>
      <c r="AQ39" s="81" t="n"/>
      <c r="AR39" s="113" t="n"/>
      <c r="AS39" s="113" t="n"/>
      <c r="AT39" s="114" t="n"/>
      <c r="AU39" s="81" t="n"/>
      <c r="AV39" s="114" t="n"/>
      <c r="AW39" s="114" t="n"/>
      <c r="AX39" s="81" t="n"/>
      <c r="AY39" s="113" t="n"/>
      <c r="AZ39" s="115">
        <f>IF($B39="","",COUNTIF(References!$A$4:$A$503,$A39))</f>
        <v/>
      </c>
      <c r="BA39" s="115">
        <f>IF($B39="","",(LEN(A39)=0)+(LEN(B39)=0)+(LEN(D39)=0)+(LEN(G39)=0)+(LEN(H39)=0)+(LEN(I39)=0)+(LEN(J39)=0)+(LEN(L39)=0)+(LEN(M39)=0)+(LEN(O39)=0)+(LEN(R39)=0)+(LEN(X39)=0)+(LEN(AI39)=0)+(LEN(AJ39)=0)+(LEN(AQ39)=0)+(LEN(AR39)=0)+(LEN(AT39)=0)+(LEN(AU39)=0)+(LEN(AV39)=0)+(LEN(AX39)=0))</f>
        <v/>
      </c>
      <c r="BB39" s="115">
        <f>IF($B39="","",IF(AND(BA39=0,AZ39&gt;=1),"Complete","Incomplete"))</f>
        <v/>
      </c>
    </row>
    <row r="40" ht="15" customHeight="1" s="62">
      <c r="A40" s="81" t="n"/>
      <c r="B40" s="113" t="n"/>
      <c r="C40" s="81" t="n"/>
      <c r="D40" s="81" t="n"/>
      <c r="E40" s="81" t="n"/>
      <c r="F40" s="81" t="n"/>
      <c r="G40" s="81" t="n"/>
      <c r="H40" s="81" t="n"/>
      <c r="I40" s="81" t="n"/>
      <c r="J40" s="81" t="n"/>
      <c r="K40" s="81" t="n"/>
      <c r="L40" s="113" t="n"/>
      <c r="M40" s="81" t="n"/>
      <c r="N40" s="81" t="n"/>
      <c r="O40" s="81" t="n"/>
      <c r="P40" s="81" t="n"/>
      <c r="Q40" s="113" t="n"/>
      <c r="R40" s="113" t="n"/>
      <c r="S40" s="113" t="n"/>
      <c r="T40" s="81" t="n"/>
      <c r="U40" s="81" t="n"/>
      <c r="V40" s="113" t="n"/>
      <c r="W40" s="81" t="n"/>
      <c r="X40" s="81" t="n"/>
      <c r="Y40" s="81" t="n"/>
      <c r="Z40" s="81" t="n"/>
      <c r="AA40" s="81" t="n"/>
      <c r="AB40" s="81" t="n"/>
      <c r="AC40" s="81" t="n"/>
      <c r="AD40" s="81" t="n"/>
      <c r="AE40" s="81" t="n"/>
      <c r="AF40" s="81" t="n"/>
      <c r="AG40" s="81" t="n"/>
      <c r="AH40" s="113" t="n"/>
      <c r="AI40" s="81" t="n"/>
      <c r="AJ40" s="81" t="n"/>
      <c r="AK40" s="113" t="n"/>
      <c r="AL40" s="81" t="n"/>
      <c r="AM40" s="81" t="n"/>
      <c r="AN40" s="81" t="n"/>
      <c r="AO40" s="113" t="n"/>
      <c r="AP40" s="113" t="n"/>
      <c r="AQ40" s="81" t="n"/>
      <c r="AR40" s="113" t="n"/>
      <c r="AS40" s="113" t="n"/>
      <c r="AT40" s="114" t="n"/>
      <c r="AU40" s="81" t="n"/>
      <c r="AV40" s="114" t="n"/>
      <c r="AW40" s="114" t="n"/>
      <c r="AX40" s="81" t="n"/>
      <c r="AY40" s="113" t="n"/>
      <c r="AZ40" s="115">
        <f>IF($B40="","",COUNTIF(References!$A$4:$A$503,$A40))</f>
        <v/>
      </c>
      <c r="BA40" s="115">
        <f>IF($B40="","",(LEN(A40)=0)+(LEN(B40)=0)+(LEN(D40)=0)+(LEN(G40)=0)+(LEN(H40)=0)+(LEN(I40)=0)+(LEN(J40)=0)+(LEN(L40)=0)+(LEN(M40)=0)+(LEN(O40)=0)+(LEN(R40)=0)+(LEN(X40)=0)+(LEN(AI40)=0)+(LEN(AJ40)=0)+(LEN(AQ40)=0)+(LEN(AR40)=0)+(LEN(AT40)=0)+(LEN(AU40)=0)+(LEN(AV40)=0)+(LEN(AX40)=0))</f>
        <v/>
      </c>
      <c r="BB40" s="115">
        <f>IF($B40="","",IF(AND(BA40=0,AZ40&gt;=1),"Complete","Incomplete"))</f>
        <v/>
      </c>
    </row>
    <row r="41" ht="15" customHeight="1" s="62">
      <c r="A41" s="81" t="n"/>
      <c r="B41" s="113" t="n"/>
      <c r="C41" s="81" t="n"/>
      <c r="D41" s="81" t="n"/>
      <c r="E41" s="81" t="n"/>
      <c r="F41" s="81" t="n"/>
      <c r="G41" s="81" t="n"/>
      <c r="H41" s="81" t="n"/>
      <c r="I41" s="81" t="n"/>
      <c r="J41" s="81" t="n"/>
      <c r="K41" s="81" t="n"/>
      <c r="L41" s="113" t="n"/>
      <c r="M41" s="81" t="n"/>
      <c r="N41" s="81" t="n"/>
      <c r="O41" s="81" t="n"/>
      <c r="P41" s="81" t="n"/>
      <c r="Q41" s="113" t="n"/>
      <c r="R41" s="113" t="n"/>
      <c r="S41" s="113" t="n"/>
      <c r="T41" s="81" t="n"/>
      <c r="U41" s="81" t="n"/>
      <c r="V41" s="113" t="n"/>
      <c r="W41" s="81" t="n"/>
      <c r="X41" s="81" t="n"/>
      <c r="Y41" s="81" t="n"/>
      <c r="Z41" s="81" t="n"/>
      <c r="AA41" s="81" t="n"/>
      <c r="AB41" s="81" t="n"/>
      <c r="AC41" s="81" t="n"/>
      <c r="AD41" s="81" t="n"/>
      <c r="AE41" s="81" t="n"/>
      <c r="AF41" s="81" t="n"/>
      <c r="AG41" s="81" t="n"/>
      <c r="AH41" s="113" t="n"/>
      <c r="AI41" s="81" t="n"/>
      <c r="AJ41" s="81" t="n"/>
      <c r="AK41" s="113" t="n"/>
      <c r="AL41" s="81" t="n"/>
      <c r="AM41" s="81" t="n"/>
      <c r="AN41" s="81" t="n"/>
      <c r="AO41" s="113" t="n"/>
      <c r="AP41" s="113" t="n"/>
      <c r="AQ41" s="81" t="n"/>
      <c r="AR41" s="113" t="n"/>
      <c r="AS41" s="113" t="n"/>
      <c r="AT41" s="114" t="n"/>
      <c r="AU41" s="81" t="n"/>
      <c r="AV41" s="114" t="n"/>
      <c r="AW41" s="114" t="n"/>
      <c r="AX41" s="81" t="n"/>
      <c r="AY41" s="113" t="n"/>
      <c r="AZ41" s="115">
        <f>IF($B41="","",COUNTIF(References!$A$4:$A$503,$A41))</f>
        <v/>
      </c>
      <c r="BA41" s="115">
        <f>IF($B41="","",(LEN(A41)=0)+(LEN(B41)=0)+(LEN(D41)=0)+(LEN(G41)=0)+(LEN(H41)=0)+(LEN(I41)=0)+(LEN(J41)=0)+(LEN(L41)=0)+(LEN(M41)=0)+(LEN(O41)=0)+(LEN(R41)=0)+(LEN(X41)=0)+(LEN(AI41)=0)+(LEN(AJ41)=0)+(LEN(AQ41)=0)+(LEN(AR41)=0)+(LEN(AT41)=0)+(LEN(AU41)=0)+(LEN(AV41)=0)+(LEN(AX41)=0))</f>
        <v/>
      </c>
      <c r="BB41" s="115">
        <f>IF($B41="","",IF(AND(BA41=0,AZ41&gt;=1),"Complete","Incomplete"))</f>
        <v/>
      </c>
    </row>
    <row r="42" ht="15" customHeight="1" s="62">
      <c r="A42" s="81" t="n"/>
      <c r="B42" s="113" t="n"/>
      <c r="C42" s="81" t="n"/>
      <c r="D42" s="81" t="n"/>
      <c r="E42" s="81" t="n"/>
      <c r="F42" s="81" t="n"/>
      <c r="G42" s="81" t="n"/>
      <c r="H42" s="81" t="n"/>
      <c r="I42" s="81" t="n"/>
      <c r="J42" s="81" t="n"/>
      <c r="K42" s="81" t="n"/>
      <c r="L42" s="113" t="n"/>
      <c r="M42" s="81" t="n"/>
      <c r="N42" s="81" t="n"/>
      <c r="O42" s="81" t="n"/>
      <c r="P42" s="81" t="n"/>
      <c r="Q42" s="113" t="n"/>
      <c r="R42" s="113" t="n"/>
      <c r="S42" s="113" t="n"/>
      <c r="T42" s="81" t="n"/>
      <c r="U42" s="81" t="n"/>
      <c r="V42" s="113" t="n"/>
      <c r="W42" s="81" t="n"/>
      <c r="X42" s="81" t="n"/>
      <c r="Y42" s="81" t="n"/>
      <c r="Z42" s="81" t="n"/>
      <c r="AA42" s="81" t="n"/>
      <c r="AB42" s="81" t="n"/>
      <c r="AC42" s="81" t="n"/>
      <c r="AD42" s="81" t="n"/>
      <c r="AE42" s="81" t="n"/>
      <c r="AF42" s="81" t="n"/>
      <c r="AG42" s="81" t="n"/>
      <c r="AH42" s="113" t="n"/>
      <c r="AI42" s="81" t="n"/>
      <c r="AJ42" s="81" t="n"/>
      <c r="AK42" s="113" t="n"/>
      <c r="AL42" s="81" t="n"/>
      <c r="AM42" s="81" t="n"/>
      <c r="AN42" s="81" t="n"/>
      <c r="AO42" s="113" t="n"/>
      <c r="AP42" s="113" t="n"/>
      <c r="AQ42" s="81" t="n"/>
      <c r="AR42" s="113" t="n"/>
      <c r="AS42" s="113" t="n"/>
      <c r="AT42" s="114" t="n"/>
      <c r="AU42" s="81" t="n"/>
      <c r="AV42" s="114" t="n"/>
      <c r="AW42" s="114" t="n"/>
      <c r="AX42" s="81" t="n"/>
      <c r="AY42" s="113" t="n"/>
      <c r="AZ42" s="115">
        <f>IF($B42="","",COUNTIF(References!$A$4:$A$503,$A42))</f>
        <v/>
      </c>
      <c r="BA42" s="115">
        <f>IF($B42="","",(LEN(A42)=0)+(LEN(B42)=0)+(LEN(D42)=0)+(LEN(G42)=0)+(LEN(H42)=0)+(LEN(I42)=0)+(LEN(J42)=0)+(LEN(L42)=0)+(LEN(M42)=0)+(LEN(O42)=0)+(LEN(R42)=0)+(LEN(X42)=0)+(LEN(AI42)=0)+(LEN(AJ42)=0)+(LEN(AQ42)=0)+(LEN(AR42)=0)+(LEN(AT42)=0)+(LEN(AU42)=0)+(LEN(AV42)=0)+(LEN(AX42)=0))</f>
        <v/>
      </c>
      <c r="BB42" s="115">
        <f>IF($B42="","",IF(AND(BA42=0,AZ42&gt;=1),"Complete","Incomplete"))</f>
        <v/>
      </c>
    </row>
    <row r="43" ht="15" customHeight="1" s="62">
      <c r="A43" s="81" t="n"/>
      <c r="B43" s="113" t="n"/>
      <c r="C43" s="81" t="n"/>
      <c r="D43" s="81" t="n"/>
      <c r="E43" s="81" t="n"/>
      <c r="F43" s="81" t="n"/>
      <c r="G43" s="81" t="n"/>
      <c r="H43" s="81" t="n"/>
      <c r="I43" s="81" t="n"/>
      <c r="J43" s="81" t="n"/>
      <c r="K43" s="81" t="n"/>
      <c r="L43" s="113" t="n"/>
      <c r="M43" s="81" t="n"/>
      <c r="N43" s="81" t="n"/>
      <c r="O43" s="81" t="n"/>
      <c r="P43" s="81" t="n"/>
      <c r="Q43" s="113" t="n"/>
      <c r="R43" s="113" t="n"/>
      <c r="S43" s="113" t="n"/>
      <c r="T43" s="81" t="n"/>
      <c r="U43" s="81" t="n"/>
      <c r="V43" s="113" t="n"/>
      <c r="W43" s="81" t="n"/>
      <c r="X43" s="81" t="n"/>
      <c r="Y43" s="81" t="n"/>
      <c r="Z43" s="81" t="n"/>
      <c r="AA43" s="81" t="n"/>
      <c r="AB43" s="81" t="n"/>
      <c r="AC43" s="81" t="n"/>
      <c r="AD43" s="81" t="n"/>
      <c r="AE43" s="81" t="n"/>
      <c r="AF43" s="81" t="n"/>
      <c r="AG43" s="81" t="n"/>
      <c r="AH43" s="113" t="n"/>
      <c r="AI43" s="81" t="n"/>
      <c r="AJ43" s="81" t="n"/>
      <c r="AK43" s="113" t="n"/>
      <c r="AL43" s="81" t="n"/>
      <c r="AM43" s="81" t="n"/>
      <c r="AN43" s="81" t="n"/>
      <c r="AO43" s="113" t="n"/>
      <c r="AP43" s="113" t="n"/>
      <c r="AQ43" s="81" t="n"/>
      <c r="AR43" s="113" t="n"/>
      <c r="AS43" s="113" t="n"/>
      <c r="AT43" s="114" t="n"/>
      <c r="AU43" s="81" t="n"/>
      <c r="AV43" s="114" t="n"/>
      <c r="AW43" s="114" t="n"/>
      <c r="AX43" s="81" t="n"/>
      <c r="AY43" s="113" t="n"/>
      <c r="AZ43" s="115">
        <f>IF($B43="","",COUNTIF(References!$A$4:$A$503,$A43))</f>
        <v/>
      </c>
      <c r="BA43" s="115">
        <f>IF($B43="","",(LEN(A43)=0)+(LEN(B43)=0)+(LEN(D43)=0)+(LEN(G43)=0)+(LEN(H43)=0)+(LEN(I43)=0)+(LEN(J43)=0)+(LEN(L43)=0)+(LEN(M43)=0)+(LEN(O43)=0)+(LEN(R43)=0)+(LEN(X43)=0)+(LEN(AI43)=0)+(LEN(AJ43)=0)+(LEN(AQ43)=0)+(LEN(AR43)=0)+(LEN(AT43)=0)+(LEN(AU43)=0)+(LEN(AV43)=0)+(LEN(AX43)=0))</f>
        <v/>
      </c>
      <c r="BB43" s="115">
        <f>IF($B43="","",IF(AND(BA43=0,AZ43&gt;=1),"Complete","Incomplete"))</f>
        <v/>
      </c>
    </row>
    <row r="44" ht="15" customHeight="1" s="62">
      <c r="A44" s="81" t="n"/>
      <c r="B44" s="113" t="n"/>
      <c r="C44" s="81" t="n"/>
      <c r="D44" s="81" t="n"/>
      <c r="E44" s="81" t="n"/>
      <c r="F44" s="81" t="n"/>
      <c r="G44" s="81" t="n"/>
      <c r="H44" s="81" t="n"/>
      <c r="I44" s="81" t="n"/>
      <c r="J44" s="81" t="n"/>
      <c r="K44" s="81" t="n"/>
      <c r="L44" s="113" t="n"/>
      <c r="M44" s="81" t="n"/>
      <c r="N44" s="81" t="n"/>
      <c r="O44" s="81" t="n"/>
      <c r="P44" s="81" t="n"/>
      <c r="Q44" s="113" t="n"/>
      <c r="R44" s="113" t="n"/>
      <c r="S44" s="113" t="n"/>
      <c r="T44" s="81" t="n"/>
      <c r="U44" s="81" t="n"/>
      <c r="V44" s="113" t="n"/>
      <c r="W44" s="81" t="n"/>
      <c r="X44" s="81" t="n"/>
      <c r="Y44" s="81" t="n"/>
      <c r="Z44" s="81" t="n"/>
      <c r="AA44" s="81" t="n"/>
      <c r="AB44" s="81" t="n"/>
      <c r="AC44" s="81" t="n"/>
      <c r="AD44" s="81" t="n"/>
      <c r="AE44" s="81" t="n"/>
      <c r="AF44" s="81" t="n"/>
      <c r="AG44" s="81" t="n"/>
      <c r="AH44" s="113" t="n"/>
      <c r="AI44" s="81" t="n"/>
      <c r="AJ44" s="81" t="n"/>
      <c r="AK44" s="113" t="n"/>
      <c r="AL44" s="81" t="n"/>
      <c r="AM44" s="81" t="n"/>
      <c r="AN44" s="81" t="n"/>
      <c r="AO44" s="113" t="n"/>
      <c r="AP44" s="113" t="n"/>
      <c r="AQ44" s="81" t="n"/>
      <c r="AR44" s="113" t="n"/>
      <c r="AS44" s="113" t="n"/>
      <c r="AT44" s="114" t="n"/>
      <c r="AU44" s="81" t="n"/>
      <c r="AV44" s="114" t="n"/>
      <c r="AW44" s="114" t="n"/>
      <c r="AX44" s="81" t="n"/>
      <c r="AY44" s="113" t="n"/>
      <c r="AZ44" s="115">
        <f>IF($B44="","",COUNTIF(References!$A$4:$A$503,$A44))</f>
        <v/>
      </c>
      <c r="BA44" s="115">
        <f>IF($B44="","",(LEN(A44)=0)+(LEN(B44)=0)+(LEN(D44)=0)+(LEN(G44)=0)+(LEN(H44)=0)+(LEN(I44)=0)+(LEN(J44)=0)+(LEN(L44)=0)+(LEN(M44)=0)+(LEN(O44)=0)+(LEN(R44)=0)+(LEN(X44)=0)+(LEN(AI44)=0)+(LEN(AJ44)=0)+(LEN(AQ44)=0)+(LEN(AR44)=0)+(LEN(AT44)=0)+(LEN(AU44)=0)+(LEN(AV44)=0)+(LEN(AX44)=0))</f>
        <v/>
      </c>
      <c r="BB44" s="115">
        <f>IF($B44="","",IF(AND(BA44=0,AZ44&gt;=1),"Complete","Incomplete"))</f>
        <v/>
      </c>
    </row>
    <row r="45" ht="15" customHeight="1" s="62">
      <c r="A45" s="81" t="n"/>
      <c r="B45" s="113" t="n"/>
      <c r="C45" s="81" t="n"/>
      <c r="D45" s="81" t="n"/>
      <c r="E45" s="81" t="n"/>
      <c r="F45" s="81" t="n"/>
      <c r="G45" s="81" t="n"/>
      <c r="H45" s="81" t="n"/>
      <c r="I45" s="81" t="n"/>
      <c r="J45" s="81" t="n"/>
      <c r="K45" s="81" t="n"/>
      <c r="L45" s="113" t="n"/>
      <c r="M45" s="81" t="n"/>
      <c r="N45" s="81" t="n"/>
      <c r="O45" s="81" t="n"/>
      <c r="P45" s="81" t="n"/>
      <c r="Q45" s="113" t="n"/>
      <c r="R45" s="113" t="n"/>
      <c r="S45" s="113" t="n"/>
      <c r="T45" s="81" t="n"/>
      <c r="U45" s="81" t="n"/>
      <c r="V45" s="113" t="n"/>
      <c r="W45" s="81" t="n"/>
      <c r="X45" s="81" t="n"/>
      <c r="Y45" s="81" t="n"/>
      <c r="Z45" s="81" t="n"/>
      <c r="AA45" s="81" t="n"/>
      <c r="AB45" s="81" t="n"/>
      <c r="AC45" s="81" t="n"/>
      <c r="AD45" s="81" t="n"/>
      <c r="AE45" s="81" t="n"/>
      <c r="AF45" s="81" t="n"/>
      <c r="AG45" s="81" t="n"/>
      <c r="AH45" s="113" t="n"/>
      <c r="AI45" s="81" t="n"/>
      <c r="AJ45" s="81" t="n"/>
      <c r="AK45" s="113" t="n"/>
      <c r="AL45" s="81" t="n"/>
      <c r="AM45" s="81" t="n"/>
      <c r="AN45" s="81" t="n"/>
      <c r="AO45" s="113" t="n"/>
      <c r="AP45" s="113" t="n"/>
      <c r="AQ45" s="81" t="n"/>
      <c r="AR45" s="113" t="n"/>
      <c r="AS45" s="113" t="n"/>
      <c r="AT45" s="114" t="n"/>
      <c r="AU45" s="81" t="n"/>
      <c r="AV45" s="114" t="n"/>
      <c r="AW45" s="114" t="n"/>
      <c r="AX45" s="81" t="n"/>
      <c r="AY45" s="113" t="n"/>
      <c r="AZ45" s="115">
        <f>IF($B45="","",COUNTIF(References!$A$4:$A$503,$A45))</f>
        <v/>
      </c>
      <c r="BA45" s="115">
        <f>IF($B45="","",(LEN(A45)=0)+(LEN(B45)=0)+(LEN(D45)=0)+(LEN(G45)=0)+(LEN(H45)=0)+(LEN(I45)=0)+(LEN(J45)=0)+(LEN(L45)=0)+(LEN(M45)=0)+(LEN(O45)=0)+(LEN(R45)=0)+(LEN(X45)=0)+(LEN(AI45)=0)+(LEN(AJ45)=0)+(LEN(AQ45)=0)+(LEN(AR45)=0)+(LEN(AT45)=0)+(LEN(AU45)=0)+(LEN(AV45)=0)+(LEN(AX45)=0))</f>
        <v/>
      </c>
      <c r="BB45" s="115">
        <f>IF($B45="","",IF(AND(BA45=0,AZ45&gt;=1),"Complete","Incomplete"))</f>
        <v/>
      </c>
    </row>
    <row r="46" ht="15" customHeight="1" s="62">
      <c r="A46" s="81" t="n"/>
      <c r="B46" s="113" t="n"/>
      <c r="C46" s="81" t="n"/>
      <c r="D46" s="81" t="n"/>
      <c r="E46" s="81" t="n"/>
      <c r="F46" s="81" t="n"/>
      <c r="G46" s="81" t="n"/>
      <c r="H46" s="81" t="n"/>
      <c r="I46" s="81" t="n"/>
      <c r="J46" s="81" t="n"/>
      <c r="K46" s="81" t="n"/>
      <c r="L46" s="113" t="n"/>
      <c r="M46" s="81" t="n"/>
      <c r="N46" s="81" t="n"/>
      <c r="O46" s="81" t="n"/>
      <c r="P46" s="81" t="n"/>
      <c r="Q46" s="113" t="n"/>
      <c r="R46" s="113" t="n"/>
      <c r="S46" s="113" t="n"/>
      <c r="T46" s="81" t="n"/>
      <c r="U46" s="81" t="n"/>
      <c r="V46" s="113" t="n"/>
      <c r="W46" s="81" t="n"/>
      <c r="X46" s="81" t="n"/>
      <c r="Y46" s="81" t="n"/>
      <c r="Z46" s="81" t="n"/>
      <c r="AA46" s="81" t="n"/>
      <c r="AB46" s="81" t="n"/>
      <c r="AC46" s="81" t="n"/>
      <c r="AD46" s="81" t="n"/>
      <c r="AE46" s="81" t="n"/>
      <c r="AF46" s="81" t="n"/>
      <c r="AG46" s="81" t="n"/>
      <c r="AH46" s="113" t="n"/>
      <c r="AI46" s="81" t="n"/>
      <c r="AJ46" s="81" t="n"/>
      <c r="AK46" s="113" t="n"/>
      <c r="AL46" s="81" t="n"/>
      <c r="AM46" s="81" t="n"/>
      <c r="AN46" s="81" t="n"/>
      <c r="AO46" s="113" t="n"/>
      <c r="AP46" s="113" t="n"/>
      <c r="AQ46" s="81" t="n"/>
      <c r="AR46" s="113" t="n"/>
      <c r="AS46" s="113" t="n"/>
      <c r="AT46" s="114" t="n"/>
      <c r="AU46" s="81" t="n"/>
      <c r="AV46" s="114" t="n"/>
      <c r="AW46" s="114" t="n"/>
      <c r="AX46" s="81" t="n"/>
      <c r="AY46" s="113" t="n"/>
      <c r="AZ46" s="115">
        <f>IF($B46="","",COUNTIF(References!$A$4:$A$503,$A46))</f>
        <v/>
      </c>
      <c r="BA46" s="115">
        <f>IF($B46="","",(LEN(A46)=0)+(LEN(B46)=0)+(LEN(D46)=0)+(LEN(G46)=0)+(LEN(H46)=0)+(LEN(I46)=0)+(LEN(J46)=0)+(LEN(L46)=0)+(LEN(M46)=0)+(LEN(O46)=0)+(LEN(R46)=0)+(LEN(X46)=0)+(LEN(AI46)=0)+(LEN(AJ46)=0)+(LEN(AQ46)=0)+(LEN(AR46)=0)+(LEN(AT46)=0)+(LEN(AU46)=0)+(LEN(AV46)=0)+(LEN(AX46)=0))</f>
        <v/>
      </c>
      <c r="BB46" s="115">
        <f>IF($B46="","",IF(AND(BA46=0,AZ46&gt;=1),"Complete","Incomplete"))</f>
        <v/>
      </c>
    </row>
    <row r="47" ht="15" customHeight="1" s="62">
      <c r="A47" s="81" t="n"/>
      <c r="B47" s="113" t="n"/>
      <c r="C47" s="81" t="n"/>
      <c r="D47" s="81" t="n"/>
      <c r="E47" s="81" t="n"/>
      <c r="F47" s="81" t="n"/>
      <c r="G47" s="81" t="n"/>
      <c r="H47" s="81" t="n"/>
      <c r="I47" s="81" t="n"/>
      <c r="J47" s="81" t="n"/>
      <c r="K47" s="81" t="n"/>
      <c r="L47" s="113" t="n"/>
      <c r="M47" s="81" t="n"/>
      <c r="N47" s="81" t="n"/>
      <c r="O47" s="81" t="n"/>
      <c r="P47" s="81" t="n"/>
      <c r="Q47" s="113" t="n"/>
      <c r="R47" s="113" t="n"/>
      <c r="S47" s="113" t="n"/>
      <c r="T47" s="81" t="n"/>
      <c r="U47" s="81" t="n"/>
      <c r="V47" s="113" t="n"/>
      <c r="W47" s="81" t="n"/>
      <c r="X47" s="81" t="n"/>
      <c r="Y47" s="81" t="n"/>
      <c r="Z47" s="81" t="n"/>
      <c r="AA47" s="81" t="n"/>
      <c r="AB47" s="81" t="n"/>
      <c r="AC47" s="81" t="n"/>
      <c r="AD47" s="81" t="n"/>
      <c r="AE47" s="81" t="n"/>
      <c r="AF47" s="81" t="n"/>
      <c r="AG47" s="81" t="n"/>
      <c r="AH47" s="113" t="n"/>
      <c r="AI47" s="81" t="n"/>
      <c r="AJ47" s="81" t="n"/>
      <c r="AK47" s="113" t="n"/>
      <c r="AL47" s="81" t="n"/>
      <c r="AM47" s="81" t="n"/>
      <c r="AN47" s="81" t="n"/>
      <c r="AO47" s="113" t="n"/>
      <c r="AP47" s="113" t="n"/>
      <c r="AQ47" s="81" t="n"/>
      <c r="AR47" s="113" t="n"/>
      <c r="AS47" s="113" t="n"/>
      <c r="AT47" s="114" t="n"/>
      <c r="AU47" s="81" t="n"/>
      <c r="AV47" s="114" t="n"/>
      <c r="AW47" s="114" t="n"/>
      <c r="AX47" s="81" t="n"/>
      <c r="AY47" s="113" t="n"/>
      <c r="AZ47" s="115">
        <f>IF($B47="","",COUNTIF(References!$A$4:$A$503,$A47))</f>
        <v/>
      </c>
      <c r="BA47" s="115">
        <f>IF($B47="","",(LEN(A47)=0)+(LEN(B47)=0)+(LEN(D47)=0)+(LEN(G47)=0)+(LEN(H47)=0)+(LEN(I47)=0)+(LEN(J47)=0)+(LEN(L47)=0)+(LEN(M47)=0)+(LEN(O47)=0)+(LEN(R47)=0)+(LEN(X47)=0)+(LEN(AI47)=0)+(LEN(AJ47)=0)+(LEN(AQ47)=0)+(LEN(AR47)=0)+(LEN(AT47)=0)+(LEN(AU47)=0)+(LEN(AV47)=0)+(LEN(AX47)=0))</f>
        <v/>
      </c>
      <c r="BB47" s="115">
        <f>IF($B47="","",IF(AND(BA47=0,AZ47&gt;=1),"Complete","Incomplete"))</f>
        <v/>
      </c>
    </row>
    <row r="48" ht="15" customHeight="1" s="62">
      <c r="A48" s="81" t="n"/>
      <c r="B48" s="113" t="n"/>
      <c r="C48" s="81" t="n"/>
      <c r="D48" s="81" t="n"/>
      <c r="E48" s="81" t="n"/>
      <c r="F48" s="81" t="n"/>
      <c r="G48" s="81" t="n"/>
      <c r="H48" s="81" t="n"/>
      <c r="I48" s="81" t="n"/>
      <c r="J48" s="81" t="n"/>
      <c r="K48" s="81" t="n"/>
      <c r="L48" s="113" t="n"/>
      <c r="M48" s="81" t="n"/>
      <c r="N48" s="81" t="n"/>
      <c r="O48" s="81" t="n"/>
      <c r="P48" s="81" t="n"/>
      <c r="Q48" s="113" t="n"/>
      <c r="R48" s="113" t="n"/>
      <c r="S48" s="113" t="n"/>
      <c r="T48" s="81" t="n"/>
      <c r="U48" s="81" t="n"/>
      <c r="V48" s="113" t="n"/>
      <c r="W48" s="81" t="n"/>
      <c r="X48" s="81" t="n"/>
      <c r="Y48" s="81" t="n"/>
      <c r="Z48" s="81" t="n"/>
      <c r="AA48" s="81" t="n"/>
      <c r="AB48" s="81" t="n"/>
      <c r="AC48" s="81" t="n"/>
      <c r="AD48" s="81" t="n"/>
      <c r="AE48" s="81" t="n"/>
      <c r="AF48" s="81" t="n"/>
      <c r="AG48" s="81" t="n"/>
      <c r="AH48" s="113" t="n"/>
      <c r="AI48" s="81" t="n"/>
      <c r="AJ48" s="81" t="n"/>
      <c r="AK48" s="113" t="n"/>
      <c r="AL48" s="81" t="n"/>
      <c r="AM48" s="81" t="n"/>
      <c r="AN48" s="81" t="n"/>
      <c r="AO48" s="113" t="n"/>
      <c r="AP48" s="113" t="n"/>
      <c r="AQ48" s="81" t="n"/>
      <c r="AR48" s="113" t="n"/>
      <c r="AS48" s="113" t="n"/>
      <c r="AT48" s="114" t="n"/>
      <c r="AU48" s="81" t="n"/>
      <c r="AV48" s="114" t="n"/>
      <c r="AW48" s="114" t="n"/>
      <c r="AX48" s="81" t="n"/>
      <c r="AY48" s="113" t="n"/>
      <c r="AZ48" s="115">
        <f>IF($B48="","",COUNTIF(References!$A$4:$A$503,$A48))</f>
        <v/>
      </c>
      <c r="BA48" s="115">
        <f>IF($B48="","",(LEN(A48)=0)+(LEN(B48)=0)+(LEN(D48)=0)+(LEN(G48)=0)+(LEN(H48)=0)+(LEN(I48)=0)+(LEN(J48)=0)+(LEN(L48)=0)+(LEN(M48)=0)+(LEN(O48)=0)+(LEN(R48)=0)+(LEN(X48)=0)+(LEN(AI48)=0)+(LEN(AJ48)=0)+(LEN(AQ48)=0)+(LEN(AR48)=0)+(LEN(AT48)=0)+(LEN(AU48)=0)+(LEN(AV48)=0)+(LEN(AX48)=0))</f>
        <v/>
      </c>
      <c r="BB48" s="115">
        <f>IF($B48="","",IF(AND(BA48=0,AZ48&gt;=1),"Complete","Incomplete"))</f>
        <v/>
      </c>
    </row>
    <row r="49" ht="15" customHeight="1" s="62">
      <c r="A49" s="81" t="n"/>
      <c r="B49" s="113" t="n"/>
      <c r="C49" s="81" t="n"/>
      <c r="D49" s="81" t="n"/>
      <c r="E49" s="81" t="n"/>
      <c r="F49" s="81" t="n"/>
      <c r="G49" s="81" t="n"/>
      <c r="H49" s="81" t="n"/>
      <c r="I49" s="81" t="n"/>
      <c r="J49" s="81" t="n"/>
      <c r="K49" s="81" t="n"/>
      <c r="L49" s="113" t="n"/>
      <c r="M49" s="81" t="n"/>
      <c r="N49" s="81" t="n"/>
      <c r="O49" s="81" t="n"/>
      <c r="P49" s="81" t="n"/>
      <c r="Q49" s="113" t="n"/>
      <c r="R49" s="113" t="n"/>
      <c r="S49" s="113" t="n"/>
      <c r="T49" s="81" t="n"/>
      <c r="U49" s="81" t="n"/>
      <c r="V49" s="113" t="n"/>
      <c r="W49" s="81" t="n"/>
      <c r="X49" s="81" t="n"/>
      <c r="Y49" s="81" t="n"/>
      <c r="Z49" s="81" t="n"/>
      <c r="AA49" s="81" t="n"/>
      <c r="AB49" s="81" t="n"/>
      <c r="AC49" s="81" t="n"/>
      <c r="AD49" s="81" t="n"/>
      <c r="AE49" s="81" t="n"/>
      <c r="AF49" s="81" t="n"/>
      <c r="AG49" s="81" t="n"/>
      <c r="AH49" s="113" t="n"/>
      <c r="AI49" s="81" t="n"/>
      <c r="AJ49" s="81" t="n"/>
      <c r="AK49" s="113" t="n"/>
      <c r="AL49" s="81" t="n"/>
      <c r="AM49" s="81" t="n"/>
      <c r="AN49" s="81" t="n"/>
      <c r="AO49" s="113" t="n"/>
      <c r="AP49" s="113" t="n"/>
      <c r="AQ49" s="81" t="n"/>
      <c r="AR49" s="113" t="n"/>
      <c r="AS49" s="113" t="n"/>
      <c r="AT49" s="114" t="n"/>
      <c r="AU49" s="81" t="n"/>
      <c r="AV49" s="114" t="n"/>
      <c r="AW49" s="114" t="n"/>
      <c r="AX49" s="81" t="n"/>
      <c r="AY49" s="113" t="n"/>
      <c r="AZ49" s="115">
        <f>IF($B49="","",COUNTIF(References!$A$4:$A$503,$A49))</f>
        <v/>
      </c>
      <c r="BA49" s="115">
        <f>IF($B49="","",(LEN(A49)=0)+(LEN(B49)=0)+(LEN(D49)=0)+(LEN(G49)=0)+(LEN(H49)=0)+(LEN(I49)=0)+(LEN(J49)=0)+(LEN(L49)=0)+(LEN(M49)=0)+(LEN(O49)=0)+(LEN(R49)=0)+(LEN(X49)=0)+(LEN(AI49)=0)+(LEN(AJ49)=0)+(LEN(AQ49)=0)+(LEN(AR49)=0)+(LEN(AT49)=0)+(LEN(AU49)=0)+(LEN(AV49)=0)+(LEN(AX49)=0))</f>
        <v/>
      </c>
      <c r="BB49" s="115">
        <f>IF($B49="","",IF(AND(BA49=0,AZ49&gt;=1),"Complete","Incomplete"))</f>
        <v/>
      </c>
    </row>
    <row r="50" ht="15" customHeight="1" s="62">
      <c r="A50" s="81" t="n"/>
      <c r="B50" s="113" t="n"/>
      <c r="C50" s="81" t="n"/>
      <c r="D50" s="81" t="n"/>
      <c r="E50" s="81" t="n"/>
      <c r="F50" s="81" t="n"/>
      <c r="G50" s="81" t="n"/>
      <c r="H50" s="81" t="n"/>
      <c r="I50" s="81" t="n"/>
      <c r="J50" s="81" t="n"/>
      <c r="K50" s="81" t="n"/>
      <c r="L50" s="113" t="n"/>
      <c r="M50" s="81" t="n"/>
      <c r="N50" s="81" t="n"/>
      <c r="O50" s="81" t="n"/>
      <c r="P50" s="81" t="n"/>
      <c r="Q50" s="113" t="n"/>
      <c r="R50" s="113" t="n"/>
      <c r="S50" s="113" t="n"/>
      <c r="T50" s="81" t="n"/>
      <c r="U50" s="81" t="n"/>
      <c r="V50" s="113" t="n"/>
      <c r="W50" s="81" t="n"/>
      <c r="X50" s="81" t="n"/>
      <c r="Y50" s="81" t="n"/>
      <c r="Z50" s="81" t="n"/>
      <c r="AA50" s="81" t="n"/>
      <c r="AB50" s="81" t="n"/>
      <c r="AC50" s="81" t="n"/>
      <c r="AD50" s="81" t="n"/>
      <c r="AE50" s="81" t="n"/>
      <c r="AF50" s="81" t="n"/>
      <c r="AG50" s="81" t="n"/>
      <c r="AH50" s="113" t="n"/>
      <c r="AI50" s="81" t="n"/>
      <c r="AJ50" s="81" t="n"/>
      <c r="AK50" s="113" t="n"/>
      <c r="AL50" s="81" t="n"/>
      <c r="AM50" s="81" t="n"/>
      <c r="AN50" s="81" t="n"/>
      <c r="AO50" s="113" t="n"/>
      <c r="AP50" s="113" t="n"/>
      <c r="AQ50" s="81" t="n"/>
      <c r="AR50" s="113" t="n"/>
      <c r="AS50" s="113" t="n"/>
      <c r="AT50" s="114" t="n"/>
      <c r="AU50" s="81" t="n"/>
      <c r="AV50" s="114" t="n"/>
      <c r="AW50" s="114" t="n"/>
      <c r="AX50" s="81" t="n"/>
      <c r="AY50" s="113" t="n"/>
      <c r="AZ50" s="115">
        <f>IF($B50="","",COUNTIF(References!$A$4:$A$503,$A50))</f>
        <v/>
      </c>
      <c r="BA50" s="115">
        <f>IF($B50="","",(LEN(A50)=0)+(LEN(B50)=0)+(LEN(D50)=0)+(LEN(G50)=0)+(LEN(H50)=0)+(LEN(I50)=0)+(LEN(J50)=0)+(LEN(L50)=0)+(LEN(M50)=0)+(LEN(O50)=0)+(LEN(R50)=0)+(LEN(X50)=0)+(LEN(AI50)=0)+(LEN(AJ50)=0)+(LEN(AQ50)=0)+(LEN(AR50)=0)+(LEN(AT50)=0)+(LEN(AU50)=0)+(LEN(AV50)=0)+(LEN(AX50)=0))</f>
        <v/>
      </c>
      <c r="BB50" s="115">
        <f>IF($B50="","",IF(AND(BA50=0,AZ50&gt;=1),"Complete","Incomplete"))</f>
        <v/>
      </c>
    </row>
    <row r="51" ht="15" customHeight="1" s="62">
      <c r="A51" s="81" t="n"/>
      <c r="B51" s="113" t="n"/>
      <c r="C51" s="81" t="n"/>
      <c r="D51" s="81" t="n"/>
      <c r="E51" s="81" t="n"/>
      <c r="F51" s="81" t="n"/>
      <c r="G51" s="81" t="n"/>
      <c r="H51" s="81" t="n"/>
      <c r="I51" s="81" t="n"/>
      <c r="J51" s="81" t="n"/>
      <c r="K51" s="81" t="n"/>
      <c r="L51" s="113" t="n"/>
      <c r="M51" s="81" t="n"/>
      <c r="N51" s="81" t="n"/>
      <c r="O51" s="81" t="n"/>
      <c r="P51" s="81" t="n"/>
      <c r="Q51" s="113" t="n"/>
      <c r="R51" s="113" t="n"/>
      <c r="S51" s="113" t="n"/>
      <c r="T51" s="81" t="n"/>
      <c r="U51" s="81" t="n"/>
      <c r="V51" s="113" t="n"/>
      <c r="W51" s="81" t="n"/>
      <c r="X51" s="81" t="n"/>
      <c r="Y51" s="81" t="n"/>
      <c r="Z51" s="81" t="n"/>
      <c r="AA51" s="81" t="n"/>
      <c r="AB51" s="81" t="n"/>
      <c r="AC51" s="81" t="n"/>
      <c r="AD51" s="81" t="n"/>
      <c r="AE51" s="81" t="n"/>
      <c r="AF51" s="81" t="n"/>
      <c r="AG51" s="81" t="n"/>
      <c r="AH51" s="113" t="n"/>
      <c r="AI51" s="81" t="n"/>
      <c r="AJ51" s="81" t="n"/>
      <c r="AK51" s="113" t="n"/>
      <c r="AL51" s="81" t="n"/>
      <c r="AM51" s="81" t="n"/>
      <c r="AN51" s="81" t="n"/>
      <c r="AO51" s="113" t="n"/>
      <c r="AP51" s="113" t="n"/>
      <c r="AQ51" s="81" t="n"/>
      <c r="AR51" s="113" t="n"/>
      <c r="AS51" s="113" t="n"/>
      <c r="AT51" s="114" t="n"/>
      <c r="AU51" s="81" t="n"/>
      <c r="AV51" s="114" t="n"/>
      <c r="AW51" s="114" t="n"/>
      <c r="AX51" s="81" t="n"/>
      <c r="AY51" s="113" t="n"/>
      <c r="AZ51" s="115">
        <f>IF($B51="","",COUNTIF(References!$A$4:$A$503,$A51))</f>
        <v/>
      </c>
      <c r="BA51" s="115">
        <f>IF($B51="","",(LEN(A51)=0)+(LEN(B51)=0)+(LEN(D51)=0)+(LEN(G51)=0)+(LEN(H51)=0)+(LEN(I51)=0)+(LEN(J51)=0)+(LEN(L51)=0)+(LEN(M51)=0)+(LEN(O51)=0)+(LEN(R51)=0)+(LEN(X51)=0)+(LEN(AI51)=0)+(LEN(AJ51)=0)+(LEN(AQ51)=0)+(LEN(AR51)=0)+(LEN(AT51)=0)+(LEN(AU51)=0)+(LEN(AV51)=0)+(LEN(AX51)=0))</f>
        <v/>
      </c>
      <c r="BB51" s="115">
        <f>IF($B51="","",IF(AND(BA51=0,AZ51&gt;=1),"Complete","Incomplete"))</f>
        <v/>
      </c>
    </row>
    <row r="52" ht="15" customHeight="1" s="62">
      <c r="A52" s="81" t="n"/>
      <c r="B52" s="113" t="n"/>
      <c r="C52" s="81" t="n"/>
      <c r="D52" s="81" t="n"/>
      <c r="E52" s="81" t="n"/>
      <c r="F52" s="81" t="n"/>
      <c r="G52" s="81" t="n"/>
      <c r="H52" s="81" t="n"/>
      <c r="I52" s="81" t="n"/>
      <c r="J52" s="81" t="n"/>
      <c r="K52" s="81" t="n"/>
      <c r="L52" s="113" t="n"/>
      <c r="M52" s="81" t="n"/>
      <c r="N52" s="81" t="n"/>
      <c r="O52" s="81" t="n"/>
      <c r="P52" s="81" t="n"/>
      <c r="Q52" s="113" t="n"/>
      <c r="R52" s="113" t="n"/>
      <c r="S52" s="113" t="n"/>
      <c r="T52" s="81" t="n"/>
      <c r="U52" s="81" t="n"/>
      <c r="V52" s="113" t="n"/>
      <c r="W52" s="81" t="n"/>
      <c r="X52" s="81" t="n"/>
      <c r="Y52" s="81" t="n"/>
      <c r="Z52" s="81" t="n"/>
      <c r="AA52" s="81" t="n"/>
      <c r="AB52" s="81" t="n"/>
      <c r="AC52" s="81" t="n"/>
      <c r="AD52" s="81" t="n"/>
      <c r="AE52" s="81" t="n"/>
      <c r="AF52" s="81" t="n"/>
      <c r="AG52" s="81" t="n"/>
      <c r="AH52" s="113" t="n"/>
      <c r="AI52" s="81" t="n"/>
      <c r="AJ52" s="81" t="n"/>
      <c r="AK52" s="113" t="n"/>
      <c r="AL52" s="81" t="n"/>
      <c r="AM52" s="81" t="n"/>
      <c r="AN52" s="81" t="n"/>
      <c r="AO52" s="113" t="n"/>
      <c r="AP52" s="113" t="n"/>
      <c r="AQ52" s="81" t="n"/>
      <c r="AR52" s="113" t="n"/>
      <c r="AS52" s="113" t="n"/>
      <c r="AT52" s="114" t="n"/>
      <c r="AU52" s="81" t="n"/>
      <c r="AV52" s="114" t="n"/>
      <c r="AW52" s="114" t="n"/>
      <c r="AX52" s="81" t="n"/>
      <c r="AY52" s="113" t="n"/>
      <c r="AZ52" s="115">
        <f>IF($B52="","",COUNTIF(References!$A$4:$A$503,$A52))</f>
        <v/>
      </c>
      <c r="BA52" s="115">
        <f>IF($B52="","",(LEN(A52)=0)+(LEN(B52)=0)+(LEN(D52)=0)+(LEN(G52)=0)+(LEN(H52)=0)+(LEN(I52)=0)+(LEN(J52)=0)+(LEN(L52)=0)+(LEN(M52)=0)+(LEN(O52)=0)+(LEN(R52)=0)+(LEN(X52)=0)+(LEN(AI52)=0)+(LEN(AJ52)=0)+(LEN(AQ52)=0)+(LEN(AR52)=0)+(LEN(AT52)=0)+(LEN(AU52)=0)+(LEN(AV52)=0)+(LEN(AX52)=0))</f>
        <v/>
      </c>
      <c r="BB52" s="115">
        <f>IF($B52="","",IF(AND(BA52=0,AZ52&gt;=1),"Complete","Incomplete"))</f>
        <v/>
      </c>
    </row>
    <row r="53" ht="15" customHeight="1" s="62">
      <c r="A53" s="81" t="n"/>
      <c r="B53" s="113" t="n"/>
      <c r="C53" s="81" t="n"/>
      <c r="D53" s="81" t="n"/>
      <c r="E53" s="81" t="n"/>
      <c r="F53" s="81" t="n"/>
      <c r="G53" s="81" t="n"/>
      <c r="H53" s="81" t="n"/>
      <c r="I53" s="81" t="n"/>
      <c r="J53" s="81" t="n"/>
      <c r="K53" s="81" t="n"/>
      <c r="L53" s="113" t="n"/>
      <c r="M53" s="81" t="n"/>
      <c r="N53" s="81" t="n"/>
      <c r="O53" s="81" t="n"/>
      <c r="P53" s="81" t="n"/>
      <c r="Q53" s="113" t="n"/>
      <c r="R53" s="113" t="n"/>
      <c r="S53" s="113" t="n"/>
      <c r="T53" s="81" t="n"/>
      <c r="U53" s="81" t="n"/>
      <c r="V53" s="113" t="n"/>
      <c r="W53" s="81" t="n"/>
      <c r="X53" s="81" t="n"/>
      <c r="Y53" s="81" t="n"/>
      <c r="Z53" s="81" t="n"/>
      <c r="AA53" s="81" t="n"/>
      <c r="AB53" s="81" t="n"/>
      <c r="AC53" s="81" t="n"/>
      <c r="AD53" s="81" t="n"/>
      <c r="AE53" s="81" t="n"/>
      <c r="AF53" s="81" t="n"/>
      <c r="AG53" s="81" t="n"/>
      <c r="AH53" s="113" t="n"/>
      <c r="AI53" s="81" t="n"/>
      <c r="AJ53" s="81" t="n"/>
      <c r="AK53" s="113" t="n"/>
      <c r="AL53" s="81" t="n"/>
      <c r="AM53" s="81" t="n"/>
      <c r="AN53" s="81" t="n"/>
      <c r="AO53" s="113" t="n"/>
      <c r="AP53" s="113" t="n"/>
      <c r="AQ53" s="81" t="n"/>
      <c r="AR53" s="113" t="n"/>
      <c r="AS53" s="113" t="n"/>
      <c r="AT53" s="114" t="n"/>
      <c r="AU53" s="81" t="n"/>
      <c r="AV53" s="114" t="n"/>
      <c r="AW53" s="114" t="n"/>
      <c r="AX53" s="81" t="n"/>
      <c r="AY53" s="113" t="n"/>
      <c r="AZ53" s="115">
        <f>IF($B53="","",COUNTIF(References!$A$4:$A$503,$A53))</f>
        <v/>
      </c>
      <c r="BA53" s="115">
        <f>IF($B53="","",(LEN(A53)=0)+(LEN(B53)=0)+(LEN(D53)=0)+(LEN(G53)=0)+(LEN(H53)=0)+(LEN(I53)=0)+(LEN(J53)=0)+(LEN(L53)=0)+(LEN(M53)=0)+(LEN(O53)=0)+(LEN(R53)=0)+(LEN(X53)=0)+(LEN(AI53)=0)+(LEN(AJ53)=0)+(LEN(AQ53)=0)+(LEN(AR53)=0)+(LEN(AT53)=0)+(LEN(AU53)=0)+(LEN(AV53)=0)+(LEN(AX53)=0))</f>
        <v/>
      </c>
      <c r="BB53" s="115">
        <f>IF($B53="","",IF(AND(BA53=0,AZ53&gt;=1),"Complete","Incomplete"))</f>
        <v/>
      </c>
    </row>
    <row r="54" ht="15" customHeight="1" s="62">
      <c r="A54" s="81" t="n"/>
      <c r="B54" s="113" t="n"/>
      <c r="C54" s="81" t="n"/>
      <c r="D54" s="81" t="n"/>
      <c r="E54" s="81" t="n"/>
      <c r="F54" s="81" t="n"/>
      <c r="G54" s="81" t="n"/>
      <c r="H54" s="81" t="n"/>
      <c r="I54" s="81" t="n"/>
      <c r="J54" s="81" t="n"/>
      <c r="K54" s="81" t="n"/>
      <c r="L54" s="113" t="n"/>
      <c r="M54" s="81" t="n"/>
      <c r="N54" s="81" t="n"/>
      <c r="O54" s="81" t="n"/>
      <c r="P54" s="81" t="n"/>
      <c r="Q54" s="113" t="n"/>
      <c r="R54" s="113" t="n"/>
      <c r="S54" s="113" t="n"/>
      <c r="T54" s="81" t="n"/>
      <c r="U54" s="81" t="n"/>
      <c r="V54" s="113" t="n"/>
      <c r="W54" s="81" t="n"/>
      <c r="X54" s="81" t="n"/>
      <c r="Y54" s="81" t="n"/>
      <c r="Z54" s="81" t="n"/>
      <c r="AA54" s="81" t="n"/>
      <c r="AB54" s="81" t="n"/>
      <c r="AC54" s="81" t="n"/>
      <c r="AD54" s="81" t="n"/>
      <c r="AE54" s="81" t="n"/>
      <c r="AF54" s="81" t="n"/>
      <c r="AG54" s="81" t="n"/>
      <c r="AH54" s="113" t="n"/>
      <c r="AI54" s="81" t="n"/>
      <c r="AJ54" s="81" t="n"/>
      <c r="AK54" s="113" t="n"/>
      <c r="AL54" s="81" t="n"/>
      <c r="AM54" s="81" t="n"/>
      <c r="AN54" s="81" t="n"/>
      <c r="AO54" s="113" t="n"/>
      <c r="AP54" s="113" t="n"/>
      <c r="AQ54" s="81" t="n"/>
      <c r="AR54" s="113" t="n"/>
      <c r="AS54" s="113" t="n"/>
      <c r="AT54" s="114" t="n"/>
      <c r="AU54" s="81" t="n"/>
      <c r="AV54" s="114" t="n"/>
      <c r="AW54" s="114" t="n"/>
      <c r="AX54" s="81" t="n"/>
      <c r="AY54" s="113" t="n"/>
      <c r="AZ54" s="115">
        <f>IF($B54="","",COUNTIF(References!$A$4:$A$503,$A54))</f>
        <v/>
      </c>
      <c r="BA54" s="115">
        <f>IF($B54="","",(LEN(A54)=0)+(LEN(B54)=0)+(LEN(D54)=0)+(LEN(G54)=0)+(LEN(H54)=0)+(LEN(I54)=0)+(LEN(J54)=0)+(LEN(L54)=0)+(LEN(M54)=0)+(LEN(O54)=0)+(LEN(R54)=0)+(LEN(X54)=0)+(LEN(AI54)=0)+(LEN(AJ54)=0)+(LEN(AQ54)=0)+(LEN(AR54)=0)+(LEN(AT54)=0)+(LEN(AU54)=0)+(LEN(AV54)=0)+(LEN(AX54)=0))</f>
        <v/>
      </c>
      <c r="BB54" s="115">
        <f>IF($B54="","",IF(AND(BA54=0,AZ54&gt;=1),"Complete","Incomplete"))</f>
        <v/>
      </c>
    </row>
    <row r="55" ht="15" customHeight="1" s="62">
      <c r="A55" s="81" t="n"/>
      <c r="B55" s="113" t="n"/>
      <c r="C55" s="81" t="n"/>
      <c r="D55" s="81" t="n"/>
      <c r="E55" s="81" t="n"/>
      <c r="F55" s="81" t="n"/>
      <c r="G55" s="81" t="n"/>
      <c r="H55" s="81" t="n"/>
      <c r="I55" s="81" t="n"/>
      <c r="J55" s="81" t="n"/>
      <c r="K55" s="81" t="n"/>
      <c r="L55" s="113" t="n"/>
      <c r="M55" s="81" t="n"/>
      <c r="N55" s="81" t="n"/>
      <c r="O55" s="81" t="n"/>
      <c r="P55" s="81" t="n"/>
      <c r="Q55" s="113" t="n"/>
      <c r="R55" s="113" t="n"/>
      <c r="S55" s="113" t="n"/>
      <c r="T55" s="81" t="n"/>
      <c r="U55" s="81" t="n"/>
      <c r="V55" s="113" t="n"/>
      <c r="W55" s="81" t="n"/>
      <c r="X55" s="81" t="n"/>
      <c r="Y55" s="81" t="n"/>
      <c r="Z55" s="81" t="n"/>
      <c r="AA55" s="81" t="n"/>
      <c r="AB55" s="81" t="n"/>
      <c r="AC55" s="81" t="n"/>
      <c r="AD55" s="81" t="n"/>
      <c r="AE55" s="81" t="n"/>
      <c r="AF55" s="81" t="n"/>
      <c r="AG55" s="81" t="n"/>
      <c r="AH55" s="113" t="n"/>
      <c r="AI55" s="81" t="n"/>
      <c r="AJ55" s="81" t="n"/>
      <c r="AK55" s="113" t="n"/>
      <c r="AL55" s="81" t="n"/>
      <c r="AM55" s="81" t="n"/>
      <c r="AN55" s="81" t="n"/>
      <c r="AO55" s="113" t="n"/>
      <c r="AP55" s="113" t="n"/>
      <c r="AQ55" s="81" t="n"/>
      <c r="AR55" s="113" t="n"/>
      <c r="AS55" s="113" t="n"/>
      <c r="AT55" s="114" t="n"/>
      <c r="AU55" s="81" t="n"/>
      <c r="AV55" s="114" t="n"/>
      <c r="AW55" s="114" t="n"/>
      <c r="AX55" s="81" t="n"/>
      <c r="AY55" s="113" t="n"/>
      <c r="AZ55" s="115">
        <f>IF($B55="","",COUNTIF(References!$A$4:$A$503,$A55))</f>
        <v/>
      </c>
      <c r="BA55" s="115">
        <f>IF($B55="","",(LEN(A55)=0)+(LEN(B55)=0)+(LEN(D55)=0)+(LEN(G55)=0)+(LEN(H55)=0)+(LEN(I55)=0)+(LEN(J55)=0)+(LEN(L55)=0)+(LEN(M55)=0)+(LEN(O55)=0)+(LEN(R55)=0)+(LEN(X55)=0)+(LEN(AI55)=0)+(LEN(AJ55)=0)+(LEN(AQ55)=0)+(LEN(AR55)=0)+(LEN(AT55)=0)+(LEN(AU55)=0)+(LEN(AV55)=0)+(LEN(AX55)=0))</f>
        <v/>
      </c>
      <c r="BB55" s="115">
        <f>IF($B55="","",IF(AND(BA55=0,AZ55&gt;=1),"Complete","Incomplete"))</f>
        <v/>
      </c>
    </row>
    <row r="56" ht="15" customHeight="1" s="62">
      <c r="A56" s="81" t="n"/>
      <c r="B56" s="113" t="n"/>
      <c r="C56" s="81" t="n"/>
      <c r="D56" s="81" t="n"/>
      <c r="E56" s="81" t="n"/>
      <c r="F56" s="81" t="n"/>
      <c r="G56" s="81" t="n"/>
      <c r="H56" s="81" t="n"/>
      <c r="I56" s="81" t="n"/>
      <c r="J56" s="81" t="n"/>
      <c r="K56" s="81" t="n"/>
      <c r="L56" s="113" t="n"/>
      <c r="M56" s="81" t="n"/>
      <c r="N56" s="81" t="n"/>
      <c r="O56" s="81" t="n"/>
      <c r="P56" s="81" t="n"/>
      <c r="Q56" s="113" t="n"/>
      <c r="R56" s="113" t="n"/>
      <c r="S56" s="113" t="n"/>
      <c r="T56" s="81" t="n"/>
      <c r="U56" s="81" t="n"/>
      <c r="V56" s="113" t="n"/>
      <c r="W56" s="81" t="n"/>
      <c r="X56" s="81" t="n"/>
      <c r="Y56" s="81" t="n"/>
      <c r="Z56" s="81" t="n"/>
      <c r="AA56" s="81" t="n"/>
      <c r="AB56" s="81" t="n"/>
      <c r="AC56" s="81" t="n"/>
      <c r="AD56" s="81" t="n"/>
      <c r="AE56" s="81" t="n"/>
      <c r="AF56" s="81" t="n"/>
      <c r="AG56" s="81" t="n"/>
      <c r="AH56" s="113" t="n"/>
      <c r="AI56" s="81" t="n"/>
      <c r="AJ56" s="81" t="n"/>
      <c r="AK56" s="113" t="n"/>
      <c r="AL56" s="81" t="n"/>
      <c r="AM56" s="81" t="n"/>
      <c r="AN56" s="81" t="n"/>
      <c r="AO56" s="113" t="n"/>
      <c r="AP56" s="113" t="n"/>
      <c r="AQ56" s="81" t="n"/>
      <c r="AR56" s="113" t="n"/>
      <c r="AS56" s="113" t="n"/>
      <c r="AT56" s="114" t="n"/>
      <c r="AU56" s="81" t="n"/>
      <c r="AV56" s="114" t="n"/>
      <c r="AW56" s="114" t="n"/>
      <c r="AX56" s="81" t="n"/>
      <c r="AY56" s="113" t="n"/>
      <c r="AZ56" s="115">
        <f>IF($B56="","",COUNTIF(References!$A$4:$A$503,$A56))</f>
        <v/>
      </c>
      <c r="BA56" s="115">
        <f>IF($B56="","",(LEN(A56)=0)+(LEN(B56)=0)+(LEN(D56)=0)+(LEN(G56)=0)+(LEN(H56)=0)+(LEN(I56)=0)+(LEN(J56)=0)+(LEN(L56)=0)+(LEN(M56)=0)+(LEN(O56)=0)+(LEN(R56)=0)+(LEN(X56)=0)+(LEN(AI56)=0)+(LEN(AJ56)=0)+(LEN(AQ56)=0)+(LEN(AR56)=0)+(LEN(AT56)=0)+(LEN(AU56)=0)+(LEN(AV56)=0)+(LEN(AX56)=0))</f>
        <v/>
      </c>
      <c r="BB56" s="115">
        <f>IF($B56="","",IF(AND(BA56=0,AZ56&gt;=1),"Complete","Incomplete"))</f>
        <v/>
      </c>
    </row>
    <row r="57" ht="15" customHeight="1" s="62">
      <c r="A57" s="81" t="n"/>
      <c r="B57" s="113" t="n"/>
      <c r="C57" s="81" t="n"/>
      <c r="D57" s="81" t="n"/>
      <c r="E57" s="81" t="n"/>
      <c r="F57" s="81" t="n"/>
      <c r="G57" s="81" t="n"/>
      <c r="H57" s="81" t="n"/>
      <c r="I57" s="81" t="n"/>
      <c r="J57" s="81" t="n"/>
      <c r="K57" s="81" t="n"/>
      <c r="L57" s="113" t="n"/>
      <c r="M57" s="81" t="n"/>
      <c r="N57" s="81" t="n"/>
      <c r="O57" s="81" t="n"/>
      <c r="P57" s="81" t="n"/>
      <c r="Q57" s="113" t="n"/>
      <c r="R57" s="113" t="n"/>
      <c r="S57" s="113" t="n"/>
      <c r="T57" s="81" t="n"/>
      <c r="U57" s="81" t="n"/>
      <c r="V57" s="113" t="n"/>
      <c r="W57" s="81" t="n"/>
      <c r="X57" s="81" t="n"/>
      <c r="Y57" s="81" t="n"/>
      <c r="Z57" s="81" t="n"/>
      <c r="AA57" s="81" t="n"/>
      <c r="AB57" s="81" t="n"/>
      <c r="AC57" s="81" t="n"/>
      <c r="AD57" s="81" t="n"/>
      <c r="AE57" s="81" t="n"/>
      <c r="AF57" s="81" t="n"/>
      <c r="AG57" s="81" t="n"/>
      <c r="AH57" s="113" t="n"/>
      <c r="AI57" s="81" t="n"/>
      <c r="AJ57" s="81" t="n"/>
      <c r="AK57" s="113" t="n"/>
      <c r="AL57" s="81" t="n"/>
      <c r="AM57" s="81" t="n"/>
      <c r="AN57" s="81" t="n"/>
      <c r="AO57" s="113" t="n"/>
      <c r="AP57" s="113" t="n"/>
      <c r="AQ57" s="81" t="n"/>
      <c r="AR57" s="113" t="n"/>
      <c r="AS57" s="113" t="n"/>
      <c r="AT57" s="114" t="n"/>
      <c r="AU57" s="81" t="n"/>
      <c r="AV57" s="114" t="n"/>
      <c r="AW57" s="114" t="n"/>
      <c r="AX57" s="81" t="n"/>
      <c r="AY57" s="113" t="n"/>
      <c r="AZ57" s="115">
        <f>IF($B57="","",COUNTIF(References!$A$4:$A$503,$A57))</f>
        <v/>
      </c>
      <c r="BA57" s="115">
        <f>IF($B57="","",(LEN(A57)=0)+(LEN(B57)=0)+(LEN(D57)=0)+(LEN(G57)=0)+(LEN(H57)=0)+(LEN(I57)=0)+(LEN(J57)=0)+(LEN(L57)=0)+(LEN(M57)=0)+(LEN(O57)=0)+(LEN(R57)=0)+(LEN(X57)=0)+(LEN(AI57)=0)+(LEN(AJ57)=0)+(LEN(AQ57)=0)+(LEN(AR57)=0)+(LEN(AT57)=0)+(LEN(AU57)=0)+(LEN(AV57)=0)+(LEN(AX57)=0))</f>
        <v/>
      </c>
      <c r="BB57" s="115">
        <f>IF($B57="","",IF(AND(BA57=0,AZ57&gt;=1),"Complete","Incomplete"))</f>
        <v/>
      </c>
    </row>
    <row r="58" ht="15" customHeight="1" s="62">
      <c r="A58" s="81" t="n"/>
      <c r="B58" s="113" t="n"/>
      <c r="C58" s="81" t="n"/>
      <c r="D58" s="81" t="n"/>
      <c r="E58" s="81" t="n"/>
      <c r="F58" s="81" t="n"/>
      <c r="G58" s="81" t="n"/>
      <c r="H58" s="81" t="n"/>
      <c r="I58" s="81" t="n"/>
      <c r="J58" s="81" t="n"/>
      <c r="K58" s="81" t="n"/>
      <c r="L58" s="113" t="n"/>
      <c r="M58" s="81" t="n"/>
      <c r="N58" s="81" t="n"/>
      <c r="O58" s="81" t="n"/>
      <c r="P58" s="81" t="n"/>
      <c r="Q58" s="113" t="n"/>
      <c r="R58" s="113" t="n"/>
      <c r="S58" s="113" t="n"/>
      <c r="T58" s="81" t="n"/>
      <c r="U58" s="81" t="n"/>
      <c r="V58" s="113" t="n"/>
      <c r="W58" s="81" t="n"/>
      <c r="X58" s="81" t="n"/>
      <c r="Y58" s="81" t="n"/>
      <c r="Z58" s="81" t="n"/>
      <c r="AA58" s="81" t="n"/>
      <c r="AB58" s="81" t="n"/>
      <c r="AC58" s="81" t="n"/>
      <c r="AD58" s="81" t="n"/>
      <c r="AE58" s="81" t="n"/>
      <c r="AF58" s="81" t="n"/>
      <c r="AG58" s="81" t="n"/>
      <c r="AH58" s="113" t="n"/>
      <c r="AI58" s="81" t="n"/>
      <c r="AJ58" s="81" t="n"/>
      <c r="AK58" s="113" t="n"/>
      <c r="AL58" s="81" t="n"/>
      <c r="AM58" s="81" t="n"/>
      <c r="AN58" s="81" t="n"/>
      <c r="AO58" s="113" t="n"/>
      <c r="AP58" s="113" t="n"/>
      <c r="AQ58" s="81" t="n"/>
      <c r="AR58" s="113" t="n"/>
      <c r="AS58" s="113" t="n"/>
      <c r="AT58" s="114" t="n"/>
      <c r="AU58" s="81" t="n"/>
      <c r="AV58" s="114" t="n"/>
      <c r="AW58" s="114" t="n"/>
      <c r="AX58" s="81" t="n"/>
      <c r="AY58" s="113" t="n"/>
      <c r="AZ58" s="115">
        <f>IF($B58="","",COUNTIF(References!$A$4:$A$503,$A58))</f>
        <v/>
      </c>
      <c r="BA58" s="115">
        <f>IF($B58="","",(LEN(A58)=0)+(LEN(B58)=0)+(LEN(D58)=0)+(LEN(G58)=0)+(LEN(H58)=0)+(LEN(I58)=0)+(LEN(J58)=0)+(LEN(L58)=0)+(LEN(M58)=0)+(LEN(O58)=0)+(LEN(R58)=0)+(LEN(X58)=0)+(LEN(AI58)=0)+(LEN(AJ58)=0)+(LEN(AQ58)=0)+(LEN(AR58)=0)+(LEN(AT58)=0)+(LEN(AU58)=0)+(LEN(AV58)=0)+(LEN(AX58)=0))</f>
        <v/>
      </c>
      <c r="BB58" s="115">
        <f>IF($B58="","",IF(AND(BA58=0,AZ58&gt;=1),"Complete","Incomplete"))</f>
        <v/>
      </c>
    </row>
    <row r="59" ht="15" customHeight="1" s="62">
      <c r="A59" s="81" t="n"/>
      <c r="B59" s="113" t="n"/>
      <c r="C59" s="81" t="n"/>
      <c r="D59" s="81" t="n"/>
      <c r="E59" s="81" t="n"/>
      <c r="F59" s="81" t="n"/>
      <c r="G59" s="81" t="n"/>
      <c r="H59" s="81" t="n"/>
      <c r="I59" s="81" t="n"/>
      <c r="J59" s="81" t="n"/>
      <c r="K59" s="81" t="n"/>
      <c r="L59" s="113" t="n"/>
      <c r="M59" s="81" t="n"/>
      <c r="N59" s="81" t="n"/>
      <c r="O59" s="81" t="n"/>
      <c r="P59" s="81" t="n"/>
      <c r="Q59" s="113" t="n"/>
      <c r="R59" s="113" t="n"/>
      <c r="S59" s="113" t="n"/>
      <c r="T59" s="81" t="n"/>
      <c r="U59" s="81" t="n"/>
      <c r="V59" s="113" t="n"/>
      <c r="W59" s="81" t="n"/>
      <c r="X59" s="81" t="n"/>
      <c r="Y59" s="81" t="n"/>
      <c r="Z59" s="81" t="n"/>
      <c r="AA59" s="81" t="n"/>
      <c r="AB59" s="81" t="n"/>
      <c r="AC59" s="81" t="n"/>
      <c r="AD59" s="81" t="n"/>
      <c r="AE59" s="81" t="n"/>
      <c r="AF59" s="81" t="n"/>
      <c r="AG59" s="81" t="n"/>
      <c r="AH59" s="113" t="n"/>
      <c r="AI59" s="81" t="n"/>
      <c r="AJ59" s="81" t="n"/>
      <c r="AK59" s="113" t="n"/>
      <c r="AL59" s="81" t="n"/>
      <c r="AM59" s="81" t="n"/>
      <c r="AN59" s="81" t="n"/>
      <c r="AO59" s="113" t="n"/>
      <c r="AP59" s="113" t="n"/>
      <c r="AQ59" s="81" t="n"/>
      <c r="AR59" s="113" t="n"/>
      <c r="AS59" s="113" t="n"/>
      <c r="AT59" s="114" t="n"/>
      <c r="AU59" s="81" t="n"/>
      <c r="AV59" s="114" t="n"/>
      <c r="AW59" s="114" t="n"/>
      <c r="AX59" s="81" t="n"/>
      <c r="AY59" s="113" t="n"/>
      <c r="AZ59" s="115">
        <f>IF($B59="","",COUNTIF(References!$A$4:$A$503,$A59))</f>
        <v/>
      </c>
      <c r="BA59" s="115">
        <f>IF($B59="","",(LEN(A59)=0)+(LEN(B59)=0)+(LEN(D59)=0)+(LEN(G59)=0)+(LEN(H59)=0)+(LEN(I59)=0)+(LEN(J59)=0)+(LEN(L59)=0)+(LEN(M59)=0)+(LEN(O59)=0)+(LEN(R59)=0)+(LEN(X59)=0)+(LEN(AI59)=0)+(LEN(AJ59)=0)+(LEN(AQ59)=0)+(LEN(AR59)=0)+(LEN(AT59)=0)+(LEN(AU59)=0)+(LEN(AV59)=0)+(LEN(AX59)=0))</f>
        <v/>
      </c>
      <c r="BB59" s="115">
        <f>IF($B59="","",IF(AND(BA59=0,AZ59&gt;=1),"Complete","Incomplete"))</f>
        <v/>
      </c>
    </row>
    <row r="60" ht="15" customHeight="1" s="62">
      <c r="A60" s="81" t="n"/>
      <c r="B60" s="113" t="n"/>
      <c r="C60" s="81" t="n"/>
      <c r="D60" s="81" t="n"/>
      <c r="E60" s="81" t="n"/>
      <c r="F60" s="81" t="n"/>
      <c r="G60" s="81" t="n"/>
      <c r="H60" s="81" t="n"/>
      <c r="I60" s="81" t="n"/>
      <c r="J60" s="81" t="n"/>
      <c r="K60" s="81" t="n"/>
      <c r="L60" s="113" t="n"/>
      <c r="M60" s="81" t="n"/>
      <c r="N60" s="81" t="n"/>
      <c r="O60" s="81" t="n"/>
      <c r="P60" s="81" t="n"/>
      <c r="Q60" s="113" t="n"/>
      <c r="R60" s="113" t="n"/>
      <c r="S60" s="113" t="n"/>
      <c r="T60" s="81" t="n"/>
      <c r="U60" s="81" t="n"/>
      <c r="V60" s="113" t="n"/>
      <c r="W60" s="81" t="n"/>
      <c r="X60" s="81" t="n"/>
      <c r="Y60" s="81" t="n"/>
      <c r="Z60" s="81" t="n"/>
      <c r="AA60" s="81" t="n"/>
      <c r="AB60" s="81" t="n"/>
      <c r="AC60" s="81" t="n"/>
      <c r="AD60" s="81" t="n"/>
      <c r="AE60" s="81" t="n"/>
      <c r="AF60" s="81" t="n"/>
      <c r="AG60" s="81" t="n"/>
      <c r="AH60" s="113" t="n"/>
      <c r="AI60" s="81" t="n"/>
      <c r="AJ60" s="81" t="n"/>
      <c r="AK60" s="113" t="n"/>
      <c r="AL60" s="81" t="n"/>
      <c r="AM60" s="81" t="n"/>
      <c r="AN60" s="81" t="n"/>
      <c r="AO60" s="113" t="n"/>
      <c r="AP60" s="113" t="n"/>
      <c r="AQ60" s="81" t="n"/>
      <c r="AR60" s="113" t="n"/>
      <c r="AS60" s="113" t="n"/>
      <c r="AT60" s="114" t="n"/>
      <c r="AU60" s="81" t="n"/>
      <c r="AV60" s="114" t="n"/>
      <c r="AW60" s="114" t="n"/>
      <c r="AX60" s="81" t="n"/>
      <c r="AY60" s="113" t="n"/>
      <c r="AZ60" s="115">
        <f>IF($B60="","",COUNTIF(References!$A$4:$A$503,$A60))</f>
        <v/>
      </c>
      <c r="BA60" s="115">
        <f>IF($B60="","",(LEN(A60)=0)+(LEN(B60)=0)+(LEN(D60)=0)+(LEN(G60)=0)+(LEN(H60)=0)+(LEN(I60)=0)+(LEN(J60)=0)+(LEN(L60)=0)+(LEN(M60)=0)+(LEN(O60)=0)+(LEN(R60)=0)+(LEN(X60)=0)+(LEN(AI60)=0)+(LEN(AJ60)=0)+(LEN(AQ60)=0)+(LEN(AR60)=0)+(LEN(AT60)=0)+(LEN(AU60)=0)+(LEN(AV60)=0)+(LEN(AX60)=0))</f>
        <v/>
      </c>
      <c r="BB60" s="115">
        <f>IF($B60="","",IF(AND(BA60=0,AZ60&gt;=1),"Complete","Incomplete"))</f>
        <v/>
      </c>
    </row>
    <row r="61" ht="15" customHeight="1" s="62">
      <c r="A61" s="81" t="n"/>
      <c r="B61" s="113" t="n"/>
      <c r="C61" s="81" t="n"/>
      <c r="D61" s="81" t="n"/>
      <c r="E61" s="81" t="n"/>
      <c r="F61" s="81" t="n"/>
      <c r="G61" s="81" t="n"/>
      <c r="H61" s="81" t="n"/>
      <c r="I61" s="81" t="n"/>
      <c r="J61" s="81" t="n"/>
      <c r="K61" s="81" t="n"/>
      <c r="L61" s="113" t="n"/>
      <c r="M61" s="81" t="n"/>
      <c r="N61" s="81" t="n"/>
      <c r="O61" s="81" t="n"/>
      <c r="P61" s="81" t="n"/>
      <c r="Q61" s="113" t="n"/>
      <c r="R61" s="113" t="n"/>
      <c r="S61" s="113" t="n"/>
      <c r="T61" s="81" t="n"/>
      <c r="U61" s="81" t="n"/>
      <c r="V61" s="113" t="n"/>
      <c r="W61" s="81" t="n"/>
      <c r="X61" s="81" t="n"/>
      <c r="Y61" s="81" t="n"/>
      <c r="Z61" s="81" t="n"/>
      <c r="AA61" s="81" t="n"/>
      <c r="AB61" s="81" t="n"/>
      <c r="AC61" s="81" t="n"/>
      <c r="AD61" s="81" t="n"/>
      <c r="AE61" s="81" t="n"/>
      <c r="AF61" s="81" t="n"/>
      <c r="AG61" s="81" t="n"/>
      <c r="AH61" s="113" t="n"/>
      <c r="AI61" s="81" t="n"/>
      <c r="AJ61" s="81" t="n"/>
      <c r="AK61" s="113" t="n"/>
      <c r="AL61" s="81" t="n"/>
      <c r="AM61" s="81" t="n"/>
      <c r="AN61" s="81" t="n"/>
      <c r="AO61" s="113" t="n"/>
      <c r="AP61" s="113" t="n"/>
      <c r="AQ61" s="81" t="n"/>
      <c r="AR61" s="113" t="n"/>
      <c r="AS61" s="113" t="n"/>
      <c r="AT61" s="114" t="n"/>
      <c r="AU61" s="81" t="n"/>
      <c r="AV61" s="114" t="n"/>
      <c r="AW61" s="114" t="n"/>
      <c r="AX61" s="81" t="n"/>
      <c r="AY61" s="113" t="n"/>
      <c r="AZ61" s="115">
        <f>IF($B61="","",COUNTIF(References!$A$4:$A$503,$A61))</f>
        <v/>
      </c>
      <c r="BA61" s="115">
        <f>IF($B61="","",(LEN(A61)=0)+(LEN(B61)=0)+(LEN(D61)=0)+(LEN(G61)=0)+(LEN(H61)=0)+(LEN(I61)=0)+(LEN(J61)=0)+(LEN(L61)=0)+(LEN(M61)=0)+(LEN(O61)=0)+(LEN(R61)=0)+(LEN(X61)=0)+(LEN(AI61)=0)+(LEN(AJ61)=0)+(LEN(AQ61)=0)+(LEN(AR61)=0)+(LEN(AT61)=0)+(LEN(AU61)=0)+(LEN(AV61)=0)+(LEN(AX61)=0))</f>
        <v/>
      </c>
      <c r="BB61" s="115">
        <f>IF($B61="","",IF(AND(BA61=0,AZ61&gt;=1),"Complete","Incomplete"))</f>
        <v/>
      </c>
    </row>
    <row r="62" ht="15" customHeight="1" s="62">
      <c r="A62" s="81" t="n"/>
      <c r="B62" s="113" t="n"/>
      <c r="C62" s="81" t="n"/>
      <c r="D62" s="81" t="n"/>
      <c r="E62" s="81" t="n"/>
      <c r="F62" s="81" t="n"/>
      <c r="G62" s="81" t="n"/>
      <c r="H62" s="81" t="n"/>
      <c r="I62" s="81" t="n"/>
      <c r="J62" s="81" t="n"/>
      <c r="K62" s="81" t="n"/>
      <c r="L62" s="113" t="n"/>
      <c r="M62" s="81" t="n"/>
      <c r="N62" s="81" t="n"/>
      <c r="O62" s="81" t="n"/>
      <c r="P62" s="81" t="n"/>
      <c r="Q62" s="113" t="n"/>
      <c r="R62" s="113" t="n"/>
      <c r="S62" s="113" t="n"/>
      <c r="T62" s="81" t="n"/>
      <c r="U62" s="81" t="n"/>
      <c r="V62" s="113" t="n"/>
      <c r="W62" s="81" t="n"/>
      <c r="X62" s="81" t="n"/>
      <c r="Y62" s="81" t="n"/>
      <c r="Z62" s="81" t="n"/>
      <c r="AA62" s="81" t="n"/>
      <c r="AB62" s="81" t="n"/>
      <c r="AC62" s="81" t="n"/>
      <c r="AD62" s="81" t="n"/>
      <c r="AE62" s="81" t="n"/>
      <c r="AF62" s="81" t="n"/>
      <c r="AG62" s="81" t="n"/>
      <c r="AH62" s="113" t="n"/>
      <c r="AI62" s="81" t="n"/>
      <c r="AJ62" s="81" t="n"/>
      <c r="AK62" s="113" t="n"/>
      <c r="AL62" s="81" t="n"/>
      <c r="AM62" s="81" t="n"/>
      <c r="AN62" s="81" t="n"/>
      <c r="AO62" s="113" t="n"/>
      <c r="AP62" s="113" t="n"/>
      <c r="AQ62" s="81" t="n"/>
      <c r="AR62" s="113" t="n"/>
      <c r="AS62" s="113" t="n"/>
      <c r="AT62" s="114" t="n"/>
      <c r="AU62" s="81" t="n"/>
      <c r="AV62" s="114" t="n"/>
      <c r="AW62" s="114" t="n"/>
      <c r="AX62" s="81" t="n"/>
      <c r="AY62" s="113" t="n"/>
      <c r="AZ62" s="115">
        <f>IF($B62="","",COUNTIF(References!$A$4:$A$503,$A62))</f>
        <v/>
      </c>
      <c r="BA62" s="115">
        <f>IF($B62="","",(LEN(A62)=0)+(LEN(B62)=0)+(LEN(D62)=0)+(LEN(G62)=0)+(LEN(H62)=0)+(LEN(I62)=0)+(LEN(J62)=0)+(LEN(L62)=0)+(LEN(M62)=0)+(LEN(O62)=0)+(LEN(R62)=0)+(LEN(X62)=0)+(LEN(AI62)=0)+(LEN(AJ62)=0)+(LEN(AQ62)=0)+(LEN(AR62)=0)+(LEN(AT62)=0)+(LEN(AU62)=0)+(LEN(AV62)=0)+(LEN(AX62)=0))</f>
        <v/>
      </c>
      <c r="BB62" s="115">
        <f>IF($B62="","",IF(AND(BA62=0,AZ62&gt;=1),"Complete","Incomplete"))</f>
        <v/>
      </c>
    </row>
    <row r="63" ht="15" customHeight="1" s="62">
      <c r="A63" s="81" t="n"/>
      <c r="B63" s="113" t="n"/>
      <c r="C63" s="81" t="n"/>
      <c r="D63" s="81" t="n"/>
      <c r="E63" s="81" t="n"/>
      <c r="F63" s="81" t="n"/>
      <c r="G63" s="81" t="n"/>
      <c r="H63" s="81" t="n"/>
      <c r="I63" s="81" t="n"/>
      <c r="J63" s="81" t="n"/>
      <c r="K63" s="81" t="n"/>
      <c r="L63" s="113" t="n"/>
      <c r="M63" s="81" t="n"/>
      <c r="N63" s="81" t="n"/>
      <c r="O63" s="81" t="n"/>
      <c r="P63" s="81" t="n"/>
      <c r="Q63" s="113" t="n"/>
      <c r="R63" s="113" t="n"/>
      <c r="S63" s="113" t="n"/>
      <c r="T63" s="81" t="n"/>
      <c r="U63" s="81" t="n"/>
      <c r="V63" s="113" t="n"/>
      <c r="W63" s="81" t="n"/>
      <c r="X63" s="81" t="n"/>
      <c r="Y63" s="81" t="n"/>
      <c r="Z63" s="81" t="n"/>
      <c r="AA63" s="81" t="n"/>
      <c r="AB63" s="81" t="n"/>
      <c r="AC63" s="81" t="n"/>
      <c r="AD63" s="81" t="n"/>
      <c r="AE63" s="81" t="n"/>
      <c r="AF63" s="81" t="n"/>
      <c r="AG63" s="81" t="n"/>
      <c r="AH63" s="113" t="n"/>
      <c r="AI63" s="81" t="n"/>
      <c r="AJ63" s="81" t="n"/>
      <c r="AK63" s="113" t="n"/>
      <c r="AL63" s="81" t="n"/>
      <c r="AM63" s="81" t="n"/>
      <c r="AN63" s="81" t="n"/>
      <c r="AO63" s="113" t="n"/>
      <c r="AP63" s="113" t="n"/>
      <c r="AQ63" s="81" t="n"/>
      <c r="AR63" s="113" t="n"/>
      <c r="AS63" s="113" t="n"/>
      <c r="AT63" s="114" t="n"/>
      <c r="AU63" s="81" t="n"/>
      <c r="AV63" s="114" t="n"/>
      <c r="AW63" s="114" t="n"/>
      <c r="AX63" s="81" t="n"/>
      <c r="AY63" s="113" t="n"/>
      <c r="AZ63" s="115">
        <f>IF($B63="","",COUNTIF(References!$A$4:$A$503,$A63))</f>
        <v/>
      </c>
      <c r="BA63" s="115">
        <f>IF($B63="","",(LEN(A63)=0)+(LEN(B63)=0)+(LEN(D63)=0)+(LEN(G63)=0)+(LEN(H63)=0)+(LEN(I63)=0)+(LEN(J63)=0)+(LEN(L63)=0)+(LEN(M63)=0)+(LEN(O63)=0)+(LEN(R63)=0)+(LEN(X63)=0)+(LEN(AI63)=0)+(LEN(AJ63)=0)+(LEN(AQ63)=0)+(LEN(AR63)=0)+(LEN(AT63)=0)+(LEN(AU63)=0)+(LEN(AV63)=0)+(LEN(AX63)=0))</f>
        <v/>
      </c>
      <c r="BB63" s="115">
        <f>IF($B63="","",IF(AND(BA63=0,AZ63&gt;=1),"Complete","Incomplete"))</f>
        <v/>
      </c>
    </row>
    <row r="64" ht="15" customHeight="1" s="62">
      <c r="A64" s="81" t="n"/>
      <c r="B64" s="113" t="n"/>
      <c r="C64" s="81" t="n"/>
      <c r="D64" s="81" t="n"/>
      <c r="E64" s="81" t="n"/>
      <c r="F64" s="81" t="n"/>
      <c r="G64" s="81" t="n"/>
      <c r="H64" s="81" t="n"/>
      <c r="I64" s="81" t="n"/>
      <c r="J64" s="81" t="n"/>
      <c r="K64" s="81" t="n"/>
      <c r="L64" s="113" t="n"/>
      <c r="M64" s="81" t="n"/>
      <c r="N64" s="81" t="n"/>
      <c r="O64" s="81" t="n"/>
      <c r="P64" s="81" t="n"/>
      <c r="Q64" s="113" t="n"/>
      <c r="R64" s="113" t="n"/>
      <c r="S64" s="113" t="n"/>
      <c r="T64" s="81" t="n"/>
      <c r="U64" s="81" t="n"/>
      <c r="V64" s="113" t="n"/>
      <c r="W64" s="81" t="n"/>
      <c r="X64" s="81" t="n"/>
      <c r="Y64" s="81" t="n"/>
      <c r="Z64" s="81" t="n"/>
      <c r="AA64" s="81" t="n"/>
      <c r="AB64" s="81" t="n"/>
      <c r="AC64" s="81" t="n"/>
      <c r="AD64" s="81" t="n"/>
      <c r="AE64" s="81" t="n"/>
      <c r="AF64" s="81" t="n"/>
      <c r="AG64" s="81" t="n"/>
      <c r="AH64" s="113" t="n"/>
      <c r="AI64" s="81" t="n"/>
      <c r="AJ64" s="81" t="n"/>
      <c r="AK64" s="113" t="n"/>
      <c r="AL64" s="81" t="n"/>
      <c r="AM64" s="81" t="n"/>
      <c r="AN64" s="81" t="n"/>
      <c r="AO64" s="113" t="n"/>
      <c r="AP64" s="113" t="n"/>
      <c r="AQ64" s="81" t="n"/>
      <c r="AR64" s="113" t="n"/>
      <c r="AS64" s="113" t="n"/>
      <c r="AT64" s="114" t="n"/>
      <c r="AU64" s="81" t="n"/>
      <c r="AV64" s="114" t="n"/>
      <c r="AW64" s="114" t="n"/>
      <c r="AX64" s="81" t="n"/>
      <c r="AY64" s="113" t="n"/>
      <c r="AZ64" s="115">
        <f>IF($B64="","",COUNTIF(References!$A$4:$A$503,$A64))</f>
        <v/>
      </c>
      <c r="BA64" s="115">
        <f>IF($B64="","",(LEN(A64)=0)+(LEN(B64)=0)+(LEN(D64)=0)+(LEN(G64)=0)+(LEN(H64)=0)+(LEN(I64)=0)+(LEN(J64)=0)+(LEN(L64)=0)+(LEN(M64)=0)+(LEN(O64)=0)+(LEN(R64)=0)+(LEN(X64)=0)+(LEN(AI64)=0)+(LEN(AJ64)=0)+(LEN(AQ64)=0)+(LEN(AR64)=0)+(LEN(AT64)=0)+(LEN(AU64)=0)+(LEN(AV64)=0)+(LEN(AX64)=0))</f>
        <v/>
      </c>
      <c r="BB64" s="115">
        <f>IF($B64="","",IF(AND(BA64=0,AZ64&gt;=1),"Complete","Incomplete"))</f>
        <v/>
      </c>
    </row>
    <row r="65" ht="15" customHeight="1" s="62">
      <c r="A65" s="81" t="n"/>
      <c r="B65" s="113" t="n"/>
      <c r="C65" s="81" t="n"/>
      <c r="D65" s="81" t="n"/>
      <c r="E65" s="81" t="n"/>
      <c r="F65" s="81" t="n"/>
      <c r="G65" s="81" t="n"/>
      <c r="H65" s="81" t="n"/>
      <c r="I65" s="81" t="n"/>
      <c r="J65" s="81" t="n"/>
      <c r="K65" s="81" t="n"/>
      <c r="L65" s="113" t="n"/>
      <c r="M65" s="81" t="n"/>
      <c r="N65" s="81" t="n"/>
      <c r="O65" s="81" t="n"/>
      <c r="P65" s="81" t="n"/>
      <c r="Q65" s="113" t="n"/>
      <c r="R65" s="113" t="n"/>
      <c r="S65" s="113" t="n"/>
      <c r="T65" s="81" t="n"/>
      <c r="U65" s="81" t="n"/>
      <c r="V65" s="113" t="n"/>
      <c r="W65" s="81" t="n"/>
      <c r="X65" s="81" t="n"/>
      <c r="Y65" s="81" t="n"/>
      <c r="Z65" s="81" t="n"/>
      <c r="AA65" s="81" t="n"/>
      <c r="AB65" s="81" t="n"/>
      <c r="AC65" s="81" t="n"/>
      <c r="AD65" s="81" t="n"/>
      <c r="AE65" s="81" t="n"/>
      <c r="AF65" s="81" t="n"/>
      <c r="AG65" s="81" t="n"/>
      <c r="AH65" s="113" t="n"/>
      <c r="AI65" s="81" t="n"/>
      <c r="AJ65" s="81" t="n"/>
      <c r="AK65" s="113" t="n"/>
      <c r="AL65" s="81" t="n"/>
      <c r="AM65" s="81" t="n"/>
      <c r="AN65" s="81" t="n"/>
      <c r="AO65" s="113" t="n"/>
      <c r="AP65" s="113" t="n"/>
      <c r="AQ65" s="81" t="n"/>
      <c r="AR65" s="113" t="n"/>
      <c r="AS65" s="113" t="n"/>
      <c r="AT65" s="114" t="n"/>
      <c r="AU65" s="81" t="n"/>
      <c r="AV65" s="114" t="n"/>
      <c r="AW65" s="114" t="n"/>
      <c r="AX65" s="81" t="n"/>
      <c r="AY65" s="113" t="n"/>
      <c r="AZ65" s="115">
        <f>IF($B65="","",COUNTIF(References!$A$4:$A$503,$A65))</f>
        <v/>
      </c>
      <c r="BA65" s="115">
        <f>IF($B65="","",(LEN(A65)=0)+(LEN(B65)=0)+(LEN(D65)=0)+(LEN(G65)=0)+(LEN(H65)=0)+(LEN(I65)=0)+(LEN(J65)=0)+(LEN(L65)=0)+(LEN(M65)=0)+(LEN(O65)=0)+(LEN(R65)=0)+(LEN(X65)=0)+(LEN(AI65)=0)+(LEN(AJ65)=0)+(LEN(AQ65)=0)+(LEN(AR65)=0)+(LEN(AT65)=0)+(LEN(AU65)=0)+(LEN(AV65)=0)+(LEN(AX65)=0))</f>
        <v/>
      </c>
      <c r="BB65" s="115">
        <f>IF($B65="","",IF(AND(BA65=0,AZ65&gt;=1),"Complete","Incomplete"))</f>
        <v/>
      </c>
    </row>
    <row r="66" ht="15" customHeight="1" s="62">
      <c r="A66" s="81" t="n"/>
      <c r="B66" s="113" t="n"/>
      <c r="C66" s="81" t="n"/>
      <c r="D66" s="81" t="n"/>
      <c r="E66" s="81" t="n"/>
      <c r="F66" s="81" t="n"/>
      <c r="G66" s="81" t="n"/>
      <c r="H66" s="81" t="n"/>
      <c r="I66" s="81" t="n"/>
      <c r="J66" s="81" t="n"/>
      <c r="K66" s="81" t="n"/>
      <c r="L66" s="113" t="n"/>
      <c r="M66" s="81" t="n"/>
      <c r="N66" s="81" t="n"/>
      <c r="O66" s="81" t="n"/>
      <c r="P66" s="81" t="n"/>
      <c r="Q66" s="113" t="n"/>
      <c r="R66" s="113" t="n"/>
      <c r="S66" s="113" t="n"/>
      <c r="T66" s="81" t="n"/>
      <c r="U66" s="81" t="n"/>
      <c r="V66" s="113" t="n"/>
      <c r="W66" s="81" t="n"/>
      <c r="X66" s="81" t="n"/>
      <c r="Y66" s="81" t="n"/>
      <c r="Z66" s="81" t="n"/>
      <c r="AA66" s="81" t="n"/>
      <c r="AB66" s="81" t="n"/>
      <c r="AC66" s="81" t="n"/>
      <c r="AD66" s="81" t="n"/>
      <c r="AE66" s="81" t="n"/>
      <c r="AF66" s="81" t="n"/>
      <c r="AG66" s="81" t="n"/>
      <c r="AH66" s="113" t="n"/>
      <c r="AI66" s="81" t="n"/>
      <c r="AJ66" s="81" t="n"/>
      <c r="AK66" s="113" t="n"/>
      <c r="AL66" s="81" t="n"/>
      <c r="AM66" s="81" t="n"/>
      <c r="AN66" s="81" t="n"/>
      <c r="AO66" s="113" t="n"/>
      <c r="AP66" s="113" t="n"/>
      <c r="AQ66" s="81" t="n"/>
      <c r="AR66" s="113" t="n"/>
      <c r="AS66" s="113" t="n"/>
      <c r="AT66" s="114" t="n"/>
      <c r="AU66" s="81" t="n"/>
      <c r="AV66" s="114" t="n"/>
      <c r="AW66" s="114" t="n"/>
      <c r="AX66" s="81" t="n"/>
      <c r="AY66" s="113" t="n"/>
      <c r="AZ66" s="115">
        <f>IF($B66="","",COUNTIF(References!$A$4:$A$503,$A66))</f>
        <v/>
      </c>
      <c r="BA66" s="115">
        <f>IF($B66="","",(LEN(A66)=0)+(LEN(B66)=0)+(LEN(D66)=0)+(LEN(G66)=0)+(LEN(H66)=0)+(LEN(I66)=0)+(LEN(J66)=0)+(LEN(L66)=0)+(LEN(M66)=0)+(LEN(O66)=0)+(LEN(R66)=0)+(LEN(X66)=0)+(LEN(AI66)=0)+(LEN(AJ66)=0)+(LEN(AQ66)=0)+(LEN(AR66)=0)+(LEN(AT66)=0)+(LEN(AU66)=0)+(LEN(AV66)=0)+(LEN(AX66)=0))</f>
        <v/>
      </c>
      <c r="BB66" s="115">
        <f>IF($B66="","",IF(AND(BA66=0,AZ66&gt;=1),"Complete","Incomplete"))</f>
        <v/>
      </c>
    </row>
    <row r="67" ht="15" customHeight="1" s="62">
      <c r="A67" s="81" t="n"/>
      <c r="B67" s="113" t="n"/>
      <c r="C67" s="81" t="n"/>
      <c r="D67" s="81" t="n"/>
      <c r="E67" s="81" t="n"/>
      <c r="F67" s="81" t="n"/>
      <c r="G67" s="81" t="n"/>
      <c r="H67" s="81" t="n"/>
      <c r="I67" s="81" t="n"/>
      <c r="J67" s="81" t="n"/>
      <c r="K67" s="81" t="n"/>
      <c r="L67" s="113" t="n"/>
      <c r="M67" s="81" t="n"/>
      <c r="N67" s="81" t="n"/>
      <c r="O67" s="81" t="n"/>
      <c r="P67" s="81" t="n"/>
      <c r="Q67" s="113" t="n"/>
      <c r="R67" s="113" t="n"/>
      <c r="S67" s="113" t="n"/>
      <c r="T67" s="81" t="n"/>
      <c r="U67" s="81" t="n"/>
      <c r="V67" s="113" t="n"/>
      <c r="W67" s="81" t="n"/>
      <c r="X67" s="81" t="n"/>
      <c r="Y67" s="81" t="n"/>
      <c r="Z67" s="81" t="n"/>
      <c r="AA67" s="81" t="n"/>
      <c r="AB67" s="81" t="n"/>
      <c r="AC67" s="81" t="n"/>
      <c r="AD67" s="81" t="n"/>
      <c r="AE67" s="81" t="n"/>
      <c r="AF67" s="81" t="n"/>
      <c r="AG67" s="81" t="n"/>
      <c r="AH67" s="113" t="n"/>
      <c r="AI67" s="81" t="n"/>
      <c r="AJ67" s="81" t="n"/>
      <c r="AK67" s="113" t="n"/>
      <c r="AL67" s="81" t="n"/>
      <c r="AM67" s="81" t="n"/>
      <c r="AN67" s="81" t="n"/>
      <c r="AO67" s="113" t="n"/>
      <c r="AP67" s="113" t="n"/>
      <c r="AQ67" s="81" t="n"/>
      <c r="AR67" s="113" t="n"/>
      <c r="AS67" s="113" t="n"/>
      <c r="AT67" s="114" t="n"/>
      <c r="AU67" s="81" t="n"/>
      <c r="AV67" s="114" t="n"/>
      <c r="AW67" s="114" t="n"/>
      <c r="AX67" s="81" t="n"/>
      <c r="AY67" s="113" t="n"/>
      <c r="AZ67" s="115">
        <f>IF($B67="","",COUNTIF(References!$A$4:$A$503,$A67))</f>
        <v/>
      </c>
      <c r="BA67" s="115">
        <f>IF($B67="","",(LEN(A67)=0)+(LEN(B67)=0)+(LEN(D67)=0)+(LEN(G67)=0)+(LEN(H67)=0)+(LEN(I67)=0)+(LEN(J67)=0)+(LEN(L67)=0)+(LEN(M67)=0)+(LEN(O67)=0)+(LEN(R67)=0)+(LEN(X67)=0)+(LEN(AI67)=0)+(LEN(AJ67)=0)+(LEN(AQ67)=0)+(LEN(AR67)=0)+(LEN(AT67)=0)+(LEN(AU67)=0)+(LEN(AV67)=0)+(LEN(AX67)=0))</f>
        <v/>
      </c>
      <c r="BB67" s="115">
        <f>IF($B67="","",IF(AND(BA67=0,AZ67&gt;=1),"Complete","Incomplete"))</f>
        <v/>
      </c>
    </row>
    <row r="68" ht="15" customHeight="1" s="62">
      <c r="A68" s="81" t="n"/>
      <c r="B68" s="113" t="n"/>
      <c r="C68" s="81" t="n"/>
      <c r="D68" s="81" t="n"/>
      <c r="E68" s="81" t="n"/>
      <c r="F68" s="81" t="n"/>
      <c r="G68" s="81" t="n"/>
      <c r="H68" s="81" t="n"/>
      <c r="I68" s="81" t="n"/>
      <c r="J68" s="81" t="n"/>
      <c r="K68" s="81" t="n"/>
      <c r="L68" s="113" t="n"/>
      <c r="M68" s="81" t="n"/>
      <c r="N68" s="81" t="n"/>
      <c r="O68" s="81" t="n"/>
      <c r="P68" s="81" t="n"/>
      <c r="Q68" s="113" t="n"/>
      <c r="R68" s="113" t="n"/>
      <c r="S68" s="113" t="n"/>
      <c r="T68" s="81" t="n"/>
      <c r="U68" s="81" t="n"/>
      <c r="V68" s="113" t="n"/>
      <c r="W68" s="81" t="n"/>
      <c r="X68" s="81" t="n"/>
      <c r="Y68" s="81" t="n"/>
      <c r="Z68" s="81" t="n"/>
      <c r="AA68" s="81" t="n"/>
      <c r="AB68" s="81" t="n"/>
      <c r="AC68" s="81" t="n"/>
      <c r="AD68" s="81" t="n"/>
      <c r="AE68" s="81" t="n"/>
      <c r="AF68" s="81" t="n"/>
      <c r="AG68" s="81" t="n"/>
      <c r="AH68" s="113" t="n"/>
      <c r="AI68" s="81" t="n"/>
      <c r="AJ68" s="81" t="n"/>
      <c r="AK68" s="113" t="n"/>
      <c r="AL68" s="81" t="n"/>
      <c r="AM68" s="81" t="n"/>
      <c r="AN68" s="81" t="n"/>
      <c r="AO68" s="113" t="n"/>
      <c r="AP68" s="113" t="n"/>
      <c r="AQ68" s="81" t="n"/>
      <c r="AR68" s="113" t="n"/>
      <c r="AS68" s="113" t="n"/>
      <c r="AT68" s="114" t="n"/>
      <c r="AU68" s="81" t="n"/>
      <c r="AV68" s="114" t="n"/>
      <c r="AW68" s="114" t="n"/>
      <c r="AX68" s="81" t="n"/>
      <c r="AY68" s="113" t="n"/>
      <c r="AZ68" s="115">
        <f>IF($B68="","",COUNTIF(References!$A$4:$A$503,$A68))</f>
        <v/>
      </c>
      <c r="BA68" s="115">
        <f>IF($B68="","",(LEN(A68)=0)+(LEN(B68)=0)+(LEN(D68)=0)+(LEN(G68)=0)+(LEN(H68)=0)+(LEN(I68)=0)+(LEN(J68)=0)+(LEN(L68)=0)+(LEN(M68)=0)+(LEN(O68)=0)+(LEN(R68)=0)+(LEN(X68)=0)+(LEN(AI68)=0)+(LEN(AJ68)=0)+(LEN(AQ68)=0)+(LEN(AR68)=0)+(LEN(AT68)=0)+(LEN(AU68)=0)+(LEN(AV68)=0)+(LEN(AX68)=0))</f>
        <v/>
      </c>
      <c r="BB68" s="115">
        <f>IF($B68="","",IF(AND(BA68=0,AZ68&gt;=1),"Complete","Incomplete"))</f>
        <v/>
      </c>
    </row>
    <row r="69" ht="15" customHeight="1" s="62">
      <c r="A69" s="81" t="n"/>
      <c r="B69" s="113" t="n"/>
      <c r="C69" s="81" t="n"/>
      <c r="D69" s="81" t="n"/>
      <c r="E69" s="81" t="n"/>
      <c r="F69" s="81" t="n"/>
      <c r="G69" s="81" t="n"/>
      <c r="H69" s="81" t="n"/>
      <c r="I69" s="81" t="n"/>
      <c r="J69" s="81" t="n"/>
      <c r="K69" s="81" t="n"/>
      <c r="L69" s="113" t="n"/>
      <c r="M69" s="81" t="n"/>
      <c r="N69" s="81" t="n"/>
      <c r="O69" s="81" t="n"/>
      <c r="P69" s="81" t="n"/>
      <c r="Q69" s="113" t="n"/>
      <c r="R69" s="113" t="n"/>
      <c r="S69" s="113" t="n"/>
      <c r="T69" s="81" t="n"/>
      <c r="U69" s="81" t="n"/>
      <c r="V69" s="113" t="n"/>
      <c r="W69" s="81" t="n"/>
      <c r="X69" s="81" t="n"/>
      <c r="Y69" s="81" t="n"/>
      <c r="Z69" s="81" t="n"/>
      <c r="AA69" s="81" t="n"/>
      <c r="AB69" s="81" t="n"/>
      <c r="AC69" s="81" t="n"/>
      <c r="AD69" s="81" t="n"/>
      <c r="AE69" s="81" t="n"/>
      <c r="AF69" s="81" t="n"/>
      <c r="AG69" s="81" t="n"/>
      <c r="AH69" s="113" t="n"/>
      <c r="AI69" s="81" t="n"/>
      <c r="AJ69" s="81" t="n"/>
      <c r="AK69" s="113" t="n"/>
      <c r="AL69" s="81" t="n"/>
      <c r="AM69" s="81" t="n"/>
      <c r="AN69" s="81" t="n"/>
      <c r="AO69" s="113" t="n"/>
      <c r="AP69" s="113" t="n"/>
      <c r="AQ69" s="81" t="n"/>
      <c r="AR69" s="113" t="n"/>
      <c r="AS69" s="113" t="n"/>
      <c r="AT69" s="114" t="n"/>
      <c r="AU69" s="81" t="n"/>
      <c r="AV69" s="114" t="n"/>
      <c r="AW69" s="114" t="n"/>
      <c r="AX69" s="81" t="n"/>
      <c r="AY69" s="113" t="n"/>
      <c r="AZ69" s="115">
        <f>IF($B69="","",COUNTIF(References!$A$4:$A$503,$A69))</f>
        <v/>
      </c>
      <c r="BA69" s="115">
        <f>IF($B69="","",(LEN(A69)=0)+(LEN(B69)=0)+(LEN(D69)=0)+(LEN(G69)=0)+(LEN(H69)=0)+(LEN(I69)=0)+(LEN(J69)=0)+(LEN(L69)=0)+(LEN(M69)=0)+(LEN(O69)=0)+(LEN(R69)=0)+(LEN(X69)=0)+(LEN(AI69)=0)+(LEN(AJ69)=0)+(LEN(AQ69)=0)+(LEN(AR69)=0)+(LEN(AT69)=0)+(LEN(AU69)=0)+(LEN(AV69)=0)+(LEN(AX69)=0))</f>
        <v/>
      </c>
      <c r="BB69" s="115">
        <f>IF($B69="","",IF(AND(BA69=0,AZ69&gt;=1),"Complete","Incomplete"))</f>
        <v/>
      </c>
    </row>
    <row r="70" ht="15" customHeight="1" s="62">
      <c r="A70" s="81" t="n"/>
      <c r="B70" s="113" t="n"/>
      <c r="C70" s="81" t="n"/>
      <c r="D70" s="81" t="n"/>
      <c r="E70" s="81" t="n"/>
      <c r="F70" s="81" t="n"/>
      <c r="G70" s="81" t="n"/>
      <c r="H70" s="81" t="n"/>
      <c r="I70" s="81" t="n"/>
      <c r="J70" s="81" t="n"/>
      <c r="K70" s="81" t="n"/>
      <c r="L70" s="113" t="n"/>
      <c r="M70" s="81" t="n"/>
      <c r="N70" s="81" t="n"/>
      <c r="O70" s="81" t="n"/>
      <c r="P70" s="81" t="n"/>
      <c r="Q70" s="113" t="n"/>
      <c r="R70" s="113" t="n"/>
      <c r="S70" s="113" t="n"/>
      <c r="T70" s="81" t="n"/>
      <c r="U70" s="81" t="n"/>
      <c r="V70" s="113" t="n"/>
      <c r="W70" s="81" t="n"/>
      <c r="X70" s="81" t="n"/>
      <c r="Y70" s="81" t="n"/>
      <c r="Z70" s="81" t="n"/>
      <c r="AA70" s="81" t="n"/>
      <c r="AB70" s="81" t="n"/>
      <c r="AC70" s="81" t="n"/>
      <c r="AD70" s="81" t="n"/>
      <c r="AE70" s="81" t="n"/>
      <c r="AF70" s="81" t="n"/>
      <c r="AG70" s="81" t="n"/>
      <c r="AH70" s="113" t="n"/>
      <c r="AI70" s="81" t="n"/>
      <c r="AJ70" s="81" t="n"/>
      <c r="AK70" s="113" t="n"/>
      <c r="AL70" s="81" t="n"/>
      <c r="AM70" s="81" t="n"/>
      <c r="AN70" s="81" t="n"/>
      <c r="AO70" s="113" t="n"/>
      <c r="AP70" s="113" t="n"/>
      <c r="AQ70" s="81" t="n"/>
      <c r="AR70" s="113" t="n"/>
      <c r="AS70" s="113" t="n"/>
      <c r="AT70" s="114" t="n"/>
      <c r="AU70" s="81" t="n"/>
      <c r="AV70" s="114" t="n"/>
      <c r="AW70" s="114" t="n"/>
      <c r="AX70" s="81" t="n"/>
      <c r="AY70" s="113" t="n"/>
      <c r="AZ70" s="115">
        <f>IF($B70="","",COUNTIF(References!$A$4:$A$503,$A70))</f>
        <v/>
      </c>
      <c r="BA70" s="115">
        <f>IF($B70="","",(LEN(A70)=0)+(LEN(B70)=0)+(LEN(D70)=0)+(LEN(G70)=0)+(LEN(H70)=0)+(LEN(I70)=0)+(LEN(J70)=0)+(LEN(L70)=0)+(LEN(M70)=0)+(LEN(O70)=0)+(LEN(R70)=0)+(LEN(X70)=0)+(LEN(AI70)=0)+(LEN(AJ70)=0)+(LEN(AQ70)=0)+(LEN(AR70)=0)+(LEN(AT70)=0)+(LEN(AU70)=0)+(LEN(AV70)=0)+(LEN(AX70)=0))</f>
        <v/>
      </c>
      <c r="BB70" s="115">
        <f>IF($B70="","",IF(AND(BA70=0,AZ70&gt;=1),"Complete","Incomplete"))</f>
        <v/>
      </c>
    </row>
    <row r="71" ht="15" customHeight="1" s="62">
      <c r="A71" s="81" t="n"/>
      <c r="B71" s="113" t="n"/>
      <c r="C71" s="81" t="n"/>
      <c r="D71" s="81" t="n"/>
      <c r="E71" s="81" t="n"/>
      <c r="F71" s="81" t="n"/>
      <c r="G71" s="81" t="n"/>
      <c r="H71" s="81" t="n"/>
      <c r="I71" s="81" t="n"/>
      <c r="J71" s="81" t="n"/>
      <c r="K71" s="81" t="n"/>
      <c r="L71" s="113" t="n"/>
      <c r="M71" s="81" t="n"/>
      <c r="N71" s="81" t="n"/>
      <c r="O71" s="81" t="n"/>
      <c r="P71" s="81" t="n"/>
      <c r="Q71" s="113" t="n"/>
      <c r="R71" s="113" t="n"/>
      <c r="S71" s="113" t="n"/>
      <c r="T71" s="81" t="n"/>
      <c r="U71" s="81" t="n"/>
      <c r="V71" s="113" t="n"/>
      <c r="W71" s="81" t="n"/>
      <c r="X71" s="81" t="n"/>
      <c r="Y71" s="81" t="n"/>
      <c r="Z71" s="81" t="n"/>
      <c r="AA71" s="81" t="n"/>
      <c r="AB71" s="81" t="n"/>
      <c r="AC71" s="81" t="n"/>
      <c r="AD71" s="81" t="n"/>
      <c r="AE71" s="81" t="n"/>
      <c r="AF71" s="81" t="n"/>
      <c r="AG71" s="81" t="n"/>
      <c r="AH71" s="113" t="n"/>
      <c r="AI71" s="81" t="n"/>
      <c r="AJ71" s="81" t="n"/>
      <c r="AK71" s="113" t="n"/>
      <c r="AL71" s="81" t="n"/>
      <c r="AM71" s="81" t="n"/>
      <c r="AN71" s="81" t="n"/>
      <c r="AO71" s="113" t="n"/>
      <c r="AP71" s="113" t="n"/>
      <c r="AQ71" s="81" t="n"/>
      <c r="AR71" s="113" t="n"/>
      <c r="AS71" s="113" t="n"/>
      <c r="AT71" s="114" t="n"/>
      <c r="AU71" s="81" t="n"/>
      <c r="AV71" s="114" t="n"/>
      <c r="AW71" s="114" t="n"/>
      <c r="AX71" s="81" t="n"/>
      <c r="AY71" s="113" t="n"/>
      <c r="AZ71" s="115">
        <f>IF($B71="","",COUNTIF(References!$A$4:$A$503,$A71))</f>
        <v/>
      </c>
      <c r="BA71" s="115">
        <f>IF($B71="","",(LEN(A71)=0)+(LEN(B71)=0)+(LEN(D71)=0)+(LEN(G71)=0)+(LEN(H71)=0)+(LEN(I71)=0)+(LEN(J71)=0)+(LEN(L71)=0)+(LEN(M71)=0)+(LEN(O71)=0)+(LEN(R71)=0)+(LEN(X71)=0)+(LEN(AI71)=0)+(LEN(AJ71)=0)+(LEN(AQ71)=0)+(LEN(AR71)=0)+(LEN(AT71)=0)+(LEN(AU71)=0)+(LEN(AV71)=0)+(LEN(AX71)=0))</f>
        <v/>
      </c>
      <c r="BB71" s="115">
        <f>IF($B71="","",IF(AND(BA71=0,AZ71&gt;=1),"Complete","Incomplete"))</f>
        <v/>
      </c>
    </row>
    <row r="72" ht="15" customHeight="1" s="62">
      <c r="A72" s="81" t="n"/>
      <c r="B72" s="113" t="n"/>
      <c r="C72" s="81" t="n"/>
      <c r="D72" s="81" t="n"/>
      <c r="E72" s="81" t="n"/>
      <c r="F72" s="81" t="n"/>
      <c r="G72" s="81" t="n"/>
      <c r="H72" s="81" t="n"/>
      <c r="I72" s="81" t="n"/>
      <c r="J72" s="81" t="n"/>
      <c r="K72" s="81" t="n"/>
      <c r="L72" s="113" t="n"/>
      <c r="M72" s="81" t="n"/>
      <c r="N72" s="81" t="n"/>
      <c r="O72" s="81" t="n"/>
      <c r="P72" s="81" t="n"/>
      <c r="Q72" s="113" t="n"/>
      <c r="R72" s="113" t="n"/>
      <c r="S72" s="113" t="n"/>
      <c r="T72" s="81" t="n"/>
      <c r="U72" s="81" t="n"/>
      <c r="V72" s="113" t="n"/>
      <c r="W72" s="81" t="n"/>
      <c r="X72" s="81" t="n"/>
      <c r="Y72" s="81" t="n"/>
      <c r="Z72" s="81" t="n"/>
      <c r="AA72" s="81" t="n"/>
      <c r="AB72" s="81" t="n"/>
      <c r="AC72" s="81" t="n"/>
      <c r="AD72" s="81" t="n"/>
      <c r="AE72" s="81" t="n"/>
      <c r="AF72" s="81" t="n"/>
      <c r="AG72" s="81" t="n"/>
      <c r="AH72" s="113" t="n"/>
      <c r="AI72" s="81" t="n"/>
      <c r="AJ72" s="81" t="n"/>
      <c r="AK72" s="113" t="n"/>
      <c r="AL72" s="81" t="n"/>
      <c r="AM72" s="81" t="n"/>
      <c r="AN72" s="81" t="n"/>
      <c r="AO72" s="113" t="n"/>
      <c r="AP72" s="113" t="n"/>
      <c r="AQ72" s="81" t="n"/>
      <c r="AR72" s="113" t="n"/>
      <c r="AS72" s="113" t="n"/>
      <c r="AT72" s="114" t="n"/>
      <c r="AU72" s="81" t="n"/>
      <c r="AV72" s="114" t="n"/>
      <c r="AW72" s="114" t="n"/>
      <c r="AX72" s="81" t="n"/>
      <c r="AY72" s="113" t="n"/>
      <c r="AZ72" s="115">
        <f>IF($B72="","",COUNTIF(References!$A$4:$A$503,$A72))</f>
        <v/>
      </c>
      <c r="BA72" s="115">
        <f>IF($B72="","",(LEN(A72)=0)+(LEN(B72)=0)+(LEN(D72)=0)+(LEN(G72)=0)+(LEN(H72)=0)+(LEN(I72)=0)+(LEN(J72)=0)+(LEN(L72)=0)+(LEN(M72)=0)+(LEN(O72)=0)+(LEN(R72)=0)+(LEN(X72)=0)+(LEN(AI72)=0)+(LEN(AJ72)=0)+(LEN(AQ72)=0)+(LEN(AR72)=0)+(LEN(AT72)=0)+(LEN(AU72)=0)+(LEN(AV72)=0)+(LEN(AX72)=0))</f>
        <v/>
      </c>
      <c r="BB72" s="115">
        <f>IF($B72="","",IF(AND(BA72=0,AZ72&gt;=1),"Complete","Incomplete"))</f>
        <v/>
      </c>
    </row>
    <row r="73" ht="15" customHeight="1" s="62">
      <c r="A73" s="81" t="n"/>
      <c r="B73" s="113" t="n"/>
      <c r="C73" s="81" t="n"/>
      <c r="D73" s="81" t="n"/>
      <c r="E73" s="81" t="n"/>
      <c r="F73" s="81" t="n"/>
      <c r="G73" s="81" t="n"/>
      <c r="H73" s="81" t="n"/>
      <c r="I73" s="81" t="n"/>
      <c r="J73" s="81" t="n"/>
      <c r="K73" s="81" t="n"/>
      <c r="L73" s="113" t="n"/>
      <c r="M73" s="81" t="n"/>
      <c r="N73" s="81" t="n"/>
      <c r="O73" s="81" t="n"/>
      <c r="P73" s="81" t="n"/>
      <c r="Q73" s="113" t="n"/>
      <c r="R73" s="113" t="n"/>
      <c r="S73" s="113" t="n"/>
      <c r="T73" s="81" t="n"/>
      <c r="U73" s="81" t="n"/>
      <c r="V73" s="113" t="n"/>
      <c r="W73" s="81" t="n"/>
      <c r="X73" s="81" t="n"/>
      <c r="Y73" s="81" t="n"/>
      <c r="Z73" s="81" t="n"/>
      <c r="AA73" s="81" t="n"/>
      <c r="AB73" s="81" t="n"/>
      <c r="AC73" s="81" t="n"/>
      <c r="AD73" s="81" t="n"/>
      <c r="AE73" s="81" t="n"/>
      <c r="AF73" s="81" t="n"/>
      <c r="AG73" s="81" t="n"/>
      <c r="AH73" s="113" t="n"/>
      <c r="AI73" s="81" t="n"/>
      <c r="AJ73" s="81" t="n"/>
      <c r="AK73" s="113" t="n"/>
      <c r="AL73" s="81" t="n"/>
      <c r="AM73" s="81" t="n"/>
      <c r="AN73" s="81" t="n"/>
      <c r="AO73" s="113" t="n"/>
      <c r="AP73" s="113" t="n"/>
      <c r="AQ73" s="81" t="n"/>
      <c r="AR73" s="113" t="n"/>
      <c r="AS73" s="113" t="n"/>
      <c r="AT73" s="114" t="n"/>
      <c r="AU73" s="81" t="n"/>
      <c r="AV73" s="114" t="n"/>
      <c r="AW73" s="114" t="n"/>
      <c r="AX73" s="81" t="n"/>
      <c r="AY73" s="113" t="n"/>
      <c r="AZ73" s="115">
        <f>IF($B73="","",COUNTIF(References!$A$4:$A$503,$A73))</f>
        <v/>
      </c>
      <c r="BA73" s="115">
        <f>IF($B73="","",(LEN(A73)=0)+(LEN(B73)=0)+(LEN(D73)=0)+(LEN(G73)=0)+(LEN(H73)=0)+(LEN(I73)=0)+(LEN(J73)=0)+(LEN(L73)=0)+(LEN(M73)=0)+(LEN(O73)=0)+(LEN(R73)=0)+(LEN(X73)=0)+(LEN(AI73)=0)+(LEN(AJ73)=0)+(LEN(AQ73)=0)+(LEN(AR73)=0)+(LEN(AT73)=0)+(LEN(AU73)=0)+(LEN(AV73)=0)+(LEN(AX73)=0))</f>
        <v/>
      </c>
      <c r="BB73" s="115">
        <f>IF($B73="","",IF(AND(BA73=0,AZ73&gt;=1),"Complete","Incomplete"))</f>
        <v/>
      </c>
    </row>
    <row r="74" ht="15" customHeight="1" s="62">
      <c r="A74" s="81" t="n"/>
      <c r="B74" s="113" t="n"/>
      <c r="C74" s="81" t="n"/>
      <c r="D74" s="81" t="n"/>
      <c r="E74" s="81" t="n"/>
      <c r="F74" s="81" t="n"/>
      <c r="G74" s="81" t="n"/>
      <c r="H74" s="81" t="n"/>
      <c r="I74" s="81" t="n"/>
      <c r="J74" s="81" t="n"/>
      <c r="K74" s="81" t="n"/>
      <c r="L74" s="113" t="n"/>
      <c r="M74" s="81" t="n"/>
      <c r="N74" s="81" t="n"/>
      <c r="O74" s="81" t="n"/>
      <c r="P74" s="81" t="n"/>
      <c r="Q74" s="113" t="n"/>
      <c r="R74" s="113" t="n"/>
      <c r="S74" s="113" t="n"/>
      <c r="T74" s="81" t="n"/>
      <c r="U74" s="81" t="n"/>
      <c r="V74" s="113" t="n"/>
      <c r="W74" s="81" t="n"/>
      <c r="X74" s="81" t="n"/>
      <c r="Y74" s="81" t="n"/>
      <c r="Z74" s="81" t="n"/>
      <c r="AA74" s="81" t="n"/>
      <c r="AB74" s="81" t="n"/>
      <c r="AC74" s="81" t="n"/>
      <c r="AD74" s="81" t="n"/>
      <c r="AE74" s="81" t="n"/>
      <c r="AF74" s="81" t="n"/>
      <c r="AG74" s="81" t="n"/>
      <c r="AH74" s="113" t="n"/>
      <c r="AI74" s="81" t="n"/>
      <c r="AJ74" s="81" t="n"/>
      <c r="AK74" s="113" t="n"/>
      <c r="AL74" s="81" t="n"/>
      <c r="AM74" s="81" t="n"/>
      <c r="AN74" s="81" t="n"/>
      <c r="AO74" s="113" t="n"/>
      <c r="AP74" s="113" t="n"/>
      <c r="AQ74" s="81" t="n"/>
      <c r="AR74" s="113" t="n"/>
      <c r="AS74" s="113" t="n"/>
      <c r="AT74" s="114" t="n"/>
      <c r="AU74" s="81" t="n"/>
      <c r="AV74" s="114" t="n"/>
      <c r="AW74" s="114" t="n"/>
      <c r="AX74" s="81" t="n"/>
      <c r="AY74" s="113" t="n"/>
      <c r="AZ74" s="115">
        <f>IF($B74="","",COUNTIF(References!$A$4:$A$503,$A74))</f>
        <v/>
      </c>
      <c r="BA74" s="115">
        <f>IF($B74="","",(LEN(A74)=0)+(LEN(B74)=0)+(LEN(D74)=0)+(LEN(G74)=0)+(LEN(H74)=0)+(LEN(I74)=0)+(LEN(J74)=0)+(LEN(L74)=0)+(LEN(M74)=0)+(LEN(O74)=0)+(LEN(R74)=0)+(LEN(X74)=0)+(LEN(AI74)=0)+(LEN(AJ74)=0)+(LEN(AQ74)=0)+(LEN(AR74)=0)+(LEN(AT74)=0)+(LEN(AU74)=0)+(LEN(AV74)=0)+(LEN(AX74)=0))</f>
        <v/>
      </c>
      <c r="BB74" s="115">
        <f>IF($B74="","",IF(AND(BA74=0,AZ74&gt;=1),"Complete","Incomplete"))</f>
        <v/>
      </c>
    </row>
    <row r="75" ht="15" customHeight="1" s="62">
      <c r="A75" s="81" t="n"/>
      <c r="B75" s="113" t="n"/>
      <c r="C75" s="81" t="n"/>
      <c r="D75" s="81" t="n"/>
      <c r="E75" s="81" t="n"/>
      <c r="F75" s="81" t="n"/>
      <c r="G75" s="81" t="n"/>
      <c r="H75" s="81" t="n"/>
      <c r="I75" s="81" t="n"/>
      <c r="J75" s="81" t="n"/>
      <c r="K75" s="81" t="n"/>
      <c r="L75" s="113" t="n"/>
      <c r="M75" s="81" t="n"/>
      <c r="N75" s="81" t="n"/>
      <c r="O75" s="81" t="n"/>
      <c r="P75" s="81" t="n"/>
      <c r="Q75" s="113" t="n"/>
      <c r="R75" s="113" t="n"/>
      <c r="S75" s="113" t="n"/>
      <c r="T75" s="81" t="n"/>
      <c r="U75" s="81" t="n"/>
      <c r="V75" s="113" t="n"/>
      <c r="W75" s="81" t="n"/>
      <c r="X75" s="81" t="n"/>
      <c r="Y75" s="81" t="n"/>
      <c r="Z75" s="81" t="n"/>
      <c r="AA75" s="81" t="n"/>
      <c r="AB75" s="81" t="n"/>
      <c r="AC75" s="81" t="n"/>
      <c r="AD75" s="81" t="n"/>
      <c r="AE75" s="81" t="n"/>
      <c r="AF75" s="81" t="n"/>
      <c r="AG75" s="81" t="n"/>
      <c r="AH75" s="113" t="n"/>
      <c r="AI75" s="81" t="n"/>
      <c r="AJ75" s="81" t="n"/>
      <c r="AK75" s="113" t="n"/>
      <c r="AL75" s="81" t="n"/>
      <c r="AM75" s="81" t="n"/>
      <c r="AN75" s="81" t="n"/>
      <c r="AO75" s="113" t="n"/>
      <c r="AP75" s="113" t="n"/>
      <c r="AQ75" s="81" t="n"/>
      <c r="AR75" s="113" t="n"/>
      <c r="AS75" s="113" t="n"/>
      <c r="AT75" s="114" t="n"/>
      <c r="AU75" s="81" t="n"/>
      <c r="AV75" s="114" t="n"/>
      <c r="AW75" s="114" t="n"/>
      <c r="AX75" s="81" t="n"/>
      <c r="AY75" s="113" t="n"/>
      <c r="AZ75" s="115">
        <f>IF($B75="","",COUNTIF(References!$A$4:$A$503,$A75))</f>
        <v/>
      </c>
      <c r="BA75" s="115">
        <f>IF($B75="","",(LEN(A75)=0)+(LEN(B75)=0)+(LEN(D75)=0)+(LEN(G75)=0)+(LEN(H75)=0)+(LEN(I75)=0)+(LEN(J75)=0)+(LEN(L75)=0)+(LEN(M75)=0)+(LEN(O75)=0)+(LEN(R75)=0)+(LEN(X75)=0)+(LEN(AI75)=0)+(LEN(AJ75)=0)+(LEN(AQ75)=0)+(LEN(AR75)=0)+(LEN(AT75)=0)+(LEN(AU75)=0)+(LEN(AV75)=0)+(LEN(AX75)=0))</f>
        <v/>
      </c>
      <c r="BB75" s="115">
        <f>IF($B75="","",IF(AND(BA75=0,AZ75&gt;=1),"Complete","Incomplete"))</f>
        <v/>
      </c>
    </row>
    <row r="76" ht="15" customHeight="1" s="62">
      <c r="A76" s="81" t="n"/>
      <c r="B76" s="113" t="n"/>
      <c r="C76" s="81" t="n"/>
      <c r="D76" s="81" t="n"/>
      <c r="E76" s="81" t="n"/>
      <c r="F76" s="81" t="n"/>
      <c r="G76" s="81" t="n"/>
      <c r="H76" s="81" t="n"/>
      <c r="I76" s="81" t="n"/>
      <c r="J76" s="81" t="n"/>
      <c r="K76" s="81" t="n"/>
      <c r="L76" s="113" t="n"/>
      <c r="M76" s="81" t="n"/>
      <c r="N76" s="81" t="n"/>
      <c r="O76" s="81" t="n"/>
      <c r="P76" s="81" t="n"/>
      <c r="Q76" s="113" t="n"/>
      <c r="R76" s="113" t="n"/>
      <c r="S76" s="113" t="n"/>
      <c r="T76" s="81" t="n"/>
      <c r="U76" s="81" t="n"/>
      <c r="V76" s="113" t="n"/>
      <c r="W76" s="81" t="n"/>
      <c r="X76" s="81" t="n"/>
      <c r="Y76" s="81" t="n"/>
      <c r="Z76" s="81" t="n"/>
      <c r="AA76" s="81" t="n"/>
      <c r="AB76" s="81" t="n"/>
      <c r="AC76" s="81" t="n"/>
      <c r="AD76" s="81" t="n"/>
      <c r="AE76" s="81" t="n"/>
      <c r="AF76" s="81" t="n"/>
      <c r="AG76" s="81" t="n"/>
      <c r="AH76" s="113" t="n"/>
      <c r="AI76" s="81" t="n"/>
      <c r="AJ76" s="81" t="n"/>
      <c r="AK76" s="113" t="n"/>
      <c r="AL76" s="81" t="n"/>
      <c r="AM76" s="81" t="n"/>
      <c r="AN76" s="81" t="n"/>
      <c r="AO76" s="113" t="n"/>
      <c r="AP76" s="113" t="n"/>
      <c r="AQ76" s="81" t="n"/>
      <c r="AR76" s="113" t="n"/>
      <c r="AS76" s="113" t="n"/>
      <c r="AT76" s="114" t="n"/>
      <c r="AU76" s="81" t="n"/>
      <c r="AV76" s="114" t="n"/>
      <c r="AW76" s="114" t="n"/>
      <c r="AX76" s="81" t="n"/>
      <c r="AY76" s="113" t="n"/>
      <c r="AZ76" s="115">
        <f>IF($B76="","",COUNTIF(References!$A$4:$A$503,$A76))</f>
        <v/>
      </c>
      <c r="BA76" s="115">
        <f>IF($B76="","",(LEN(A76)=0)+(LEN(B76)=0)+(LEN(D76)=0)+(LEN(G76)=0)+(LEN(H76)=0)+(LEN(I76)=0)+(LEN(J76)=0)+(LEN(L76)=0)+(LEN(M76)=0)+(LEN(O76)=0)+(LEN(R76)=0)+(LEN(X76)=0)+(LEN(AI76)=0)+(LEN(AJ76)=0)+(LEN(AQ76)=0)+(LEN(AR76)=0)+(LEN(AT76)=0)+(LEN(AU76)=0)+(LEN(AV76)=0)+(LEN(AX76)=0))</f>
        <v/>
      </c>
      <c r="BB76" s="115">
        <f>IF($B76="","",IF(AND(BA76=0,AZ76&gt;=1),"Complete","Incomplete"))</f>
        <v/>
      </c>
    </row>
    <row r="77" ht="15" customHeight="1" s="62">
      <c r="A77" s="81" t="n"/>
      <c r="B77" s="113" t="n"/>
      <c r="C77" s="81" t="n"/>
      <c r="D77" s="81" t="n"/>
      <c r="E77" s="81" t="n"/>
      <c r="F77" s="81" t="n"/>
      <c r="G77" s="81" t="n"/>
      <c r="H77" s="81" t="n"/>
      <c r="I77" s="81" t="n"/>
      <c r="J77" s="81" t="n"/>
      <c r="K77" s="81" t="n"/>
      <c r="L77" s="113" t="n"/>
      <c r="M77" s="81" t="n"/>
      <c r="N77" s="81" t="n"/>
      <c r="O77" s="81" t="n"/>
      <c r="P77" s="81" t="n"/>
      <c r="Q77" s="113" t="n"/>
      <c r="R77" s="113" t="n"/>
      <c r="S77" s="113" t="n"/>
      <c r="T77" s="81" t="n"/>
      <c r="U77" s="81" t="n"/>
      <c r="V77" s="113" t="n"/>
      <c r="W77" s="81" t="n"/>
      <c r="X77" s="81" t="n"/>
      <c r="Y77" s="81" t="n"/>
      <c r="Z77" s="81" t="n"/>
      <c r="AA77" s="81" t="n"/>
      <c r="AB77" s="81" t="n"/>
      <c r="AC77" s="81" t="n"/>
      <c r="AD77" s="81" t="n"/>
      <c r="AE77" s="81" t="n"/>
      <c r="AF77" s="81" t="n"/>
      <c r="AG77" s="81" t="n"/>
      <c r="AH77" s="113" t="n"/>
      <c r="AI77" s="81" t="n"/>
      <c r="AJ77" s="81" t="n"/>
      <c r="AK77" s="113" t="n"/>
      <c r="AL77" s="81" t="n"/>
      <c r="AM77" s="81" t="n"/>
      <c r="AN77" s="81" t="n"/>
      <c r="AO77" s="113" t="n"/>
      <c r="AP77" s="113" t="n"/>
      <c r="AQ77" s="81" t="n"/>
      <c r="AR77" s="113" t="n"/>
      <c r="AS77" s="113" t="n"/>
      <c r="AT77" s="114" t="n"/>
      <c r="AU77" s="81" t="n"/>
      <c r="AV77" s="114" t="n"/>
      <c r="AW77" s="114" t="n"/>
      <c r="AX77" s="81" t="n"/>
      <c r="AY77" s="113" t="n"/>
      <c r="AZ77" s="115">
        <f>IF($B77="","",COUNTIF(References!$A$4:$A$503,$A77))</f>
        <v/>
      </c>
      <c r="BA77" s="115">
        <f>IF($B77="","",(LEN(A77)=0)+(LEN(B77)=0)+(LEN(D77)=0)+(LEN(G77)=0)+(LEN(H77)=0)+(LEN(I77)=0)+(LEN(J77)=0)+(LEN(L77)=0)+(LEN(M77)=0)+(LEN(O77)=0)+(LEN(R77)=0)+(LEN(X77)=0)+(LEN(AI77)=0)+(LEN(AJ77)=0)+(LEN(AQ77)=0)+(LEN(AR77)=0)+(LEN(AT77)=0)+(LEN(AU77)=0)+(LEN(AV77)=0)+(LEN(AX77)=0))</f>
        <v/>
      </c>
      <c r="BB77" s="115">
        <f>IF($B77="","",IF(AND(BA77=0,AZ77&gt;=1),"Complete","Incomplete"))</f>
        <v/>
      </c>
    </row>
    <row r="78" ht="15" customHeight="1" s="62">
      <c r="A78" s="81" t="n"/>
      <c r="B78" s="113" t="n"/>
      <c r="C78" s="81" t="n"/>
      <c r="D78" s="81" t="n"/>
      <c r="E78" s="81" t="n"/>
      <c r="F78" s="81" t="n"/>
      <c r="G78" s="81" t="n"/>
      <c r="H78" s="81" t="n"/>
      <c r="I78" s="81" t="n"/>
      <c r="J78" s="81" t="n"/>
      <c r="K78" s="81" t="n"/>
      <c r="L78" s="113" t="n"/>
      <c r="M78" s="81" t="n"/>
      <c r="N78" s="81" t="n"/>
      <c r="O78" s="81" t="n"/>
      <c r="P78" s="81" t="n"/>
      <c r="Q78" s="113" t="n"/>
      <c r="R78" s="113" t="n"/>
      <c r="S78" s="113" t="n"/>
      <c r="T78" s="81" t="n"/>
      <c r="U78" s="81" t="n"/>
      <c r="V78" s="113" t="n"/>
      <c r="W78" s="81" t="n"/>
      <c r="X78" s="81" t="n"/>
      <c r="Y78" s="81" t="n"/>
      <c r="Z78" s="81" t="n"/>
      <c r="AA78" s="81" t="n"/>
      <c r="AB78" s="81" t="n"/>
      <c r="AC78" s="81" t="n"/>
      <c r="AD78" s="81" t="n"/>
      <c r="AE78" s="81" t="n"/>
      <c r="AF78" s="81" t="n"/>
      <c r="AG78" s="81" t="n"/>
      <c r="AH78" s="113" t="n"/>
      <c r="AI78" s="81" t="n"/>
      <c r="AJ78" s="81" t="n"/>
      <c r="AK78" s="113" t="n"/>
      <c r="AL78" s="81" t="n"/>
      <c r="AM78" s="81" t="n"/>
      <c r="AN78" s="81" t="n"/>
      <c r="AO78" s="113" t="n"/>
      <c r="AP78" s="113" t="n"/>
      <c r="AQ78" s="81" t="n"/>
      <c r="AR78" s="113" t="n"/>
      <c r="AS78" s="113" t="n"/>
      <c r="AT78" s="114" t="n"/>
      <c r="AU78" s="81" t="n"/>
      <c r="AV78" s="114" t="n"/>
      <c r="AW78" s="114" t="n"/>
      <c r="AX78" s="81" t="n"/>
      <c r="AY78" s="113" t="n"/>
      <c r="AZ78" s="115">
        <f>IF($B78="","",COUNTIF(References!$A$4:$A$503,$A78))</f>
        <v/>
      </c>
      <c r="BA78" s="115">
        <f>IF($B78="","",(LEN(A78)=0)+(LEN(B78)=0)+(LEN(D78)=0)+(LEN(G78)=0)+(LEN(H78)=0)+(LEN(I78)=0)+(LEN(J78)=0)+(LEN(L78)=0)+(LEN(M78)=0)+(LEN(O78)=0)+(LEN(R78)=0)+(LEN(X78)=0)+(LEN(AI78)=0)+(LEN(AJ78)=0)+(LEN(AQ78)=0)+(LEN(AR78)=0)+(LEN(AT78)=0)+(LEN(AU78)=0)+(LEN(AV78)=0)+(LEN(AX78)=0))</f>
        <v/>
      </c>
      <c r="BB78" s="115">
        <f>IF($B78="","",IF(AND(BA78=0,AZ78&gt;=1),"Complete","Incomplete"))</f>
        <v/>
      </c>
    </row>
    <row r="79" ht="15" customHeight="1" s="62">
      <c r="A79" s="81" t="n"/>
      <c r="B79" s="113" t="n"/>
      <c r="C79" s="81" t="n"/>
      <c r="D79" s="81" t="n"/>
      <c r="E79" s="81" t="n"/>
      <c r="F79" s="81" t="n"/>
      <c r="G79" s="81" t="n"/>
      <c r="H79" s="81" t="n"/>
      <c r="I79" s="81" t="n"/>
      <c r="J79" s="81" t="n"/>
      <c r="K79" s="81" t="n"/>
      <c r="L79" s="113" t="n"/>
      <c r="M79" s="81" t="n"/>
      <c r="N79" s="81" t="n"/>
      <c r="O79" s="81" t="n"/>
      <c r="P79" s="81" t="n"/>
      <c r="Q79" s="113" t="n"/>
      <c r="R79" s="113" t="n"/>
      <c r="S79" s="113" t="n"/>
      <c r="T79" s="81" t="n"/>
      <c r="U79" s="81" t="n"/>
      <c r="V79" s="113" t="n"/>
      <c r="W79" s="81" t="n"/>
      <c r="X79" s="81" t="n"/>
      <c r="Y79" s="81" t="n"/>
      <c r="Z79" s="81" t="n"/>
      <c r="AA79" s="81" t="n"/>
      <c r="AB79" s="81" t="n"/>
      <c r="AC79" s="81" t="n"/>
      <c r="AD79" s="81" t="n"/>
      <c r="AE79" s="81" t="n"/>
      <c r="AF79" s="81" t="n"/>
      <c r="AG79" s="81" t="n"/>
      <c r="AH79" s="113" t="n"/>
      <c r="AI79" s="81" t="n"/>
      <c r="AJ79" s="81" t="n"/>
      <c r="AK79" s="113" t="n"/>
      <c r="AL79" s="81" t="n"/>
      <c r="AM79" s="81" t="n"/>
      <c r="AN79" s="81" t="n"/>
      <c r="AO79" s="113" t="n"/>
      <c r="AP79" s="113" t="n"/>
      <c r="AQ79" s="81" t="n"/>
      <c r="AR79" s="113" t="n"/>
      <c r="AS79" s="113" t="n"/>
      <c r="AT79" s="114" t="n"/>
      <c r="AU79" s="81" t="n"/>
      <c r="AV79" s="114" t="n"/>
      <c r="AW79" s="114" t="n"/>
      <c r="AX79" s="81" t="n"/>
      <c r="AY79" s="113" t="n"/>
      <c r="AZ79" s="115">
        <f>IF($B79="","",COUNTIF(References!$A$4:$A$503,$A79))</f>
        <v/>
      </c>
      <c r="BA79" s="115">
        <f>IF($B79="","",(LEN(A79)=0)+(LEN(B79)=0)+(LEN(D79)=0)+(LEN(G79)=0)+(LEN(H79)=0)+(LEN(I79)=0)+(LEN(J79)=0)+(LEN(L79)=0)+(LEN(M79)=0)+(LEN(O79)=0)+(LEN(R79)=0)+(LEN(X79)=0)+(LEN(AI79)=0)+(LEN(AJ79)=0)+(LEN(AQ79)=0)+(LEN(AR79)=0)+(LEN(AT79)=0)+(LEN(AU79)=0)+(LEN(AV79)=0)+(LEN(AX79)=0))</f>
        <v/>
      </c>
      <c r="BB79" s="115">
        <f>IF($B79="","",IF(AND(BA79=0,AZ79&gt;=1),"Complete","Incomplete"))</f>
        <v/>
      </c>
    </row>
    <row r="80" ht="15" customHeight="1" s="62">
      <c r="A80" s="81" t="n"/>
      <c r="B80" s="113" t="n"/>
      <c r="C80" s="81" t="n"/>
      <c r="D80" s="81" t="n"/>
      <c r="E80" s="81" t="n"/>
      <c r="F80" s="81" t="n"/>
      <c r="G80" s="81" t="n"/>
      <c r="H80" s="81" t="n"/>
      <c r="I80" s="81" t="n"/>
      <c r="J80" s="81" t="n"/>
      <c r="K80" s="81" t="n"/>
      <c r="L80" s="113" t="n"/>
      <c r="M80" s="81" t="n"/>
      <c r="N80" s="81" t="n"/>
      <c r="O80" s="81" t="n"/>
      <c r="P80" s="81" t="n"/>
      <c r="Q80" s="113" t="n"/>
      <c r="R80" s="113" t="n"/>
      <c r="S80" s="113" t="n"/>
      <c r="T80" s="81" t="n"/>
      <c r="U80" s="81" t="n"/>
      <c r="V80" s="113" t="n"/>
      <c r="W80" s="81" t="n"/>
      <c r="X80" s="81" t="n"/>
      <c r="Y80" s="81" t="n"/>
      <c r="Z80" s="81" t="n"/>
      <c r="AA80" s="81" t="n"/>
      <c r="AB80" s="81" t="n"/>
      <c r="AC80" s="81" t="n"/>
      <c r="AD80" s="81" t="n"/>
      <c r="AE80" s="81" t="n"/>
      <c r="AF80" s="81" t="n"/>
      <c r="AG80" s="81" t="n"/>
      <c r="AH80" s="113" t="n"/>
      <c r="AI80" s="81" t="n"/>
      <c r="AJ80" s="81" t="n"/>
      <c r="AK80" s="113" t="n"/>
      <c r="AL80" s="81" t="n"/>
      <c r="AM80" s="81" t="n"/>
      <c r="AN80" s="81" t="n"/>
      <c r="AO80" s="113" t="n"/>
      <c r="AP80" s="113" t="n"/>
      <c r="AQ80" s="81" t="n"/>
      <c r="AR80" s="113" t="n"/>
      <c r="AS80" s="113" t="n"/>
      <c r="AT80" s="114" t="n"/>
      <c r="AU80" s="81" t="n"/>
      <c r="AV80" s="114" t="n"/>
      <c r="AW80" s="114" t="n"/>
      <c r="AX80" s="81" t="n"/>
      <c r="AY80" s="113" t="n"/>
      <c r="AZ80" s="115">
        <f>IF($B80="","",COUNTIF(References!$A$4:$A$503,$A80))</f>
        <v/>
      </c>
      <c r="BA80" s="115">
        <f>IF($B80="","",(LEN(A80)=0)+(LEN(B80)=0)+(LEN(D80)=0)+(LEN(G80)=0)+(LEN(H80)=0)+(LEN(I80)=0)+(LEN(J80)=0)+(LEN(L80)=0)+(LEN(M80)=0)+(LEN(O80)=0)+(LEN(R80)=0)+(LEN(X80)=0)+(LEN(AI80)=0)+(LEN(AJ80)=0)+(LEN(AQ80)=0)+(LEN(AR80)=0)+(LEN(AT80)=0)+(LEN(AU80)=0)+(LEN(AV80)=0)+(LEN(AX80)=0))</f>
        <v/>
      </c>
      <c r="BB80" s="115">
        <f>IF($B80="","",IF(AND(BA80=0,AZ80&gt;=1),"Complete","Incomplete"))</f>
        <v/>
      </c>
    </row>
    <row r="81" ht="15" customHeight="1" s="62">
      <c r="A81" s="81" t="n"/>
      <c r="B81" s="113" t="n"/>
      <c r="C81" s="81" t="n"/>
      <c r="D81" s="81" t="n"/>
      <c r="E81" s="81" t="n"/>
      <c r="F81" s="81" t="n"/>
      <c r="G81" s="81" t="n"/>
      <c r="H81" s="81" t="n"/>
      <c r="I81" s="81" t="n"/>
      <c r="J81" s="81" t="n"/>
      <c r="K81" s="81" t="n"/>
      <c r="L81" s="113" t="n"/>
      <c r="M81" s="81" t="n"/>
      <c r="N81" s="81" t="n"/>
      <c r="O81" s="81" t="n"/>
      <c r="P81" s="81" t="n"/>
      <c r="Q81" s="113" t="n"/>
      <c r="R81" s="113" t="n"/>
      <c r="S81" s="113" t="n"/>
      <c r="T81" s="81" t="n"/>
      <c r="U81" s="81" t="n"/>
      <c r="V81" s="113" t="n"/>
      <c r="W81" s="81" t="n"/>
      <c r="X81" s="81" t="n"/>
      <c r="Y81" s="81" t="n"/>
      <c r="Z81" s="81" t="n"/>
      <c r="AA81" s="81" t="n"/>
      <c r="AB81" s="81" t="n"/>
      <c r="AC81" s="81" t="n"/>
      <c r="AD81" s="81" t="n"/>
      <c r="AE81" s="81" t="n"/>
      <c r="AF81" s="81" t="n"/>
      <c r="AG81" s="81" t="n"/>
      <c r="AH81" s="113" t="n"/>
      <c r="AI81" s="81" t="n"/>
      <c r="AJ81" s="81" t="n"/>
      <c r="AK81" s="113" t="n"/>
      <c r="AL81" s="81" t="n"/>
      <c r="AM81" s="81" t="n"/>
      <c r="AN81" s="81" t="n"/>
      <c r="AO81" s="113" t="n"/>
      <c r="AP81" s="113" t="n"/>
      <c r="AQ81" s="81" t="n"/>
      <c r="AR81" s="113" t="n"/>
      <c r="AS81" s="113" t="n"/>
      <c r="AT81" s="114" t="n"/>
      <c r="AU81" s="81" t="n"/>
      <c r="AV81" s="114" t="n"/>
      <c r="AW81" s="114" t="n"/>
      <c r="AX81" s="81" t="n"/>
      <c r="AY81" s="113" t="n"/>
      <c r="AZ81" s="115">
        <f>IF($B81="","",COUNTIF(References!$A$4:$A$503,$A81))</f>
        <v/>
      </c>
      <c r="BA81" s="115">
        <f>IF($B81="","",(LEN(A81)=0)+(LEN(B81)=0)+(LEN(D81)=0)+(LEN(G81)=0)+(LEN(H81)=0)+(LEN(I81)=0)+(LEN(J81)=0)+(LEN(L81)=0)+(LEN(M81)=0)+(LEN(O81)=0)+(LEN(R81)=0)+(LEN(X81)=0)+(LEN(AI81)=0)+(LEN(AJ81)=0)+(LEN(AQ81)=0)+(LEN(AR81)=0)+(LEN(AT81)=0)+(LEN(AU81)=0)+(LEN(AV81)=0)+(LEN(AX81)=0))</f>
        <v/>
      </c>
      <c r="BB81" s="115">
        <f>IF($B81="","",IF(AND(BA81=0,AZ81&gt;=1),"Complete","Incomplete"))</f>
        <v/>
      </c>
    </row>
    <row r="82" ht="15" customHeight="1" s="62">
      <c r="A82" s="81" t="n"/>
      <c r="B82" s="113" t="n"/>
      <c r="C82" s="81" t="n"/>
      <c r="D82" s="81" t="n"/>
      <c r="E82" s="81" t="n"/>
      <c r="F82" s="81" t="n"/>
      <c r="G82" s="81" t="n"/>
      <c r="H82" s="81" t="n"/>
      <c r="I82" s="81" t="n"/>
      <c r="J82" s="81" t="n"/>
      <c r="K82" s="81" t="n"/>
      <c r="L82" s="113" t="n"/>
      <c r="M82" s="81" t="n"/>
      <c r="N82" s="81" t="n"/>
      <c r="O82" s="81" t="n"/>
      <c r="P82" s="81" t="n"/>
      <c r="Q82" s="113" t="n"/>
      <c r="R82" s="113" t="n"/>
      <c r="S82" s="113" t="n"/>
      <c r="T82" s="81" t="n"/>
      <c r="U82" s="81" t="n"/>
      <c r="V82" s="113" t="n"/>
      <c r="W82" s="81" t="n"/>
      <c r="X82" s="81" t="n"/>
      <c r="Y82" s="81" t="n"/>
      <c r="Z82" s="81" t="n"/>
      <c r="AA82" s="81" t="n"/>
      <c r="AB82" s="81" t="n"/>
      <c r="AC82" s="81" t="n"/>
      <c r="AD82" s="81" t="n"/>
      <c r="AE82" s="81" t="n"/>
      <c r="AF82" s="81" t="n"/>
      <c r="AG82" s="81" t="n"/>
      <c r="AH82" s="113" t="n"/>
      <c r="AI82" s="81" t="n"/>
      <c r="AJ82" s="81" t="n"/>
      <c r="AK82" s="113" t="n"/>
      <c r="AL82" s="81" t="n"/>
      <c r="AM82" s="81" t="n"/>
      <c r="AN82" s="81" t="n"/>
      <c r="AO82" s="113" t="n"/>
      <c r="AP82" s="113" t="n"/>
      <c r="AQ82" s="81" t="n"/>
      <c r="AR82" s="113" t="n"/>
      <c r="AS82" s="113" t="n"/>
      <c r="AT82" s="114" t="n"/>
      <c r="AU82" s="81" t="n"/>
      <c r="AV82" s="114" t="n"/>
      <c r="AW82" s="114" t="n"/>
      <c r="AX82" s="81" t="n"/>
      <c r="AY82" s="113" t="n"/>
      <c r="AZ82" s="115">
        <f>IF($B82="","",COUNTIF(References!$A$4:$A$503,$A82))</f>
        <v/>
      </c>
      <c r="BA82" s="115">
        <f>IF($B82="","",(LEN(A82)=0)+(LEN(B82)=0)+(LEN(D82)=0)+(LEN(G82)=0)+(LEN(H82)=0)+(LEN(I82)=0)+(LEN(J82)=0)+(LEN(L82)=0)+(LEN(M82)=0)+(LEN(O82)=0)+(LEN(R82)=0)+(LEN(X82)=0)+(LEN(AI82)=0)+(LEN(AJ82)=0)+(LEN(AQ82)=0)+(LEN(AR82)=0)+(LEN(AT82)=0)+(LEN(AU82)=0)+(LEN(AV82)=0)+(LEN(AX82)=0))</f>
        <v/>
      </c>
      <c r="BB82" s="115">
        <f>IF($B82="","",IF(AND(BA82=0,AZ82&gt;=1),"Complete","Incomplete"))</f>
        <v/>
      </c>
    </row>
    <row r="83" ht="15" customHeight="1" s="62">
      <c r="A83" s="81" t="n"/>
      <c r="B83" s="113" t="n"/>
      <c r="C83" s="81" t="n"/>
      <c r="D83" s="81" t="n"/>
      <c r="E83" s="81" t="n"/>
      <c r="F83" s="81" t="n"/>
      <c r="G83" s="81" t="n"/>
      <c r="H83" s="81" t="n"/>
      <c r="I83" s="81" t="n"/>
      <c r="J83" s="81" t="n"/>
      <c r="K83" s="81" t="n"/>
      <c r="L83" s="113" t="n"/>
      <c r="M83" s="81" t="n"/>
      <c r="N83" s="81" t="n"/>
      <c r="O83" s="81" t="n"/>
      <c r="P83" s="81" t="n"/>
      <c r="Q83" s="113" t="n"/>
      <c r="R83" s="113" t="n"/>
      <c r="S83" s="113" t="n"/>
      <c r="T83" s="81" t="n"/>
      <c r="U83" s="81" t="n"/>
      <c r="V83" s="113" t="n"/>
      <c r="W83" s="81" t="n"/>
      <c r="X83" s="81" t="n"/>
      <c r="Y83" s="81" t="n"/>
      <c r="Z83" s="81" t="n"/>
      <c r="AA83" s="81" t="n"/>
      <c r="AB83" s="81" t="n"/>
      <c r="AC83" s="81" t="n"/>
      <c r="AD83" s="81" t="n"/>
      <c r="AE83" s="81" t="n"/>
      <c r="AF83" s="81" t="n"/>
      <c r="AG83" s="81" t="n"/>
      <c r="AH83" s="113" t="n"/>
      <c r="AI83" s="81" t="n"/>
      <c r="AJ83" s="81" t="n"/>
      <c r="AK83" s="113" t="n"/>
      <c r="AL83" s="81" t="n"/>
      <c r="AM83" s="81" t="n"/>
      <c r="AN83" s="81" t="n"/>
      <c r="AO83" s="113" t="n"/>
      <c r="AP83" s="113" t="n"/>
      <c r="AQ83" s="81" t="n"/>
      <c r="AR83" s="113" t="n"/>
      <c r="AS83" s="113" t="n"/>
      <c r="AT83" s="114" t="n"/>
      <c r="AU83" s="81" t="n"/>
      <c r="AV83" s="114" t="n"/>
      <c r="AW83" s="114" t="n"/>
      <c r="AX83" s="81" t="n"/>
      <c r="AY83" s="113" t="n"/>
      <c r="AZ83" s="115">
        <f>IF($B83="","",COUNTIF(References!$A$4:$A$503,$A83))</f>
        <v/>
      </c>
      <c r="BA83" s="115">
        <f>IF($B83="","",(LEN(A83)=0)+(LEN(B83)=0)+(LEN(D83)=0)+(LEN(G83)=0)+(LEN(H83)=0)+(LEN(I83)=0)+(LEN(J83)=0)+(LEN(L83)=0)+(LEN(M83)=0)+(LEN(O83)=0)+(LEN(R83)=0)+(LEN(X83)=0)+(LEN(AI83)=0)+(LEN(AJ83)=0)+(LEN(AQ83)=0)+(LEN(AR83)=0)+(LEN(AT83)=0)+(LEN(AU83)=0)+(LEN(AV83)=0)+(LEN(AX83)=0))</f>
        <v/>
      </c>
      <c r="BB83" s="115">
        <f>IF($B83="","",IF(AND(BA83=0,AZ83&gt;=1),"Complete","Incomplete"))</f>
        <v/>
      </c>
    </row>
    <row r="84" ht="15" customHeight="1" s="62">
      <c r="A84" s="81" t="n"/>
      <c r="B84" s="113" t="n"/>
      <c r="C84" s="81" t="n"/>
      <c r="D84" s="81" t="n"/>
      <c r="E84" s="81" t="n"/>
      <c r="F84" s="81" t="n"/>
      <c r="G84" s="81" t="n"/>
      <c r="H84" s="81" t="n"/>
      <c r="I84" s="81" t="n"/>
      <c r="J84" s="81" t="n"/>
      <c r="K84" s="81" t="n"/>
      <c r="L84" s="113" t="n"/>
      <c r="M84" s="81" t="n"/>
      <c r="N84" s="81" t="n"/>
      <c r="O84" s="81" t="n"/>
      <c r="P84" s="81" t="n"/>
      <c r="Q84" s="113" t="n"/>
      <c r="R84" s="113" t="n"/>
      <c r="S84" s="113" t="n"/>
      <c r="T84" s="81" t="n"/>
      <c r="U84" s="81" t="n"/>
      <c r="V84" s="113" t="n"/>
      <c r="W84" s="81" t="n"/>
      <c r="X84" s="81" t="n"/>
      <c r="Y84" s="81" t="n"/>
      <c r="Z84" s="81" t="n"/>
      <c r="AA84" s="81" t="n"/>
      <c r="AB84" s="81" t="n"/>
      <c r="AC84" s="81" t="n"/>
      <c r="AD84" s="81" t="n"/>
      <c r="AE84" s="81" t="n"/>
      <c r="AF84" s="81" t="n"/>
      <c r="AG84" s="81" t="n"/>
      <c r="AH84" s="113" t="n"/>
      <c r="AI84" s="81" t="n"/>
      <c r="AJ84" s="81" t="n"/>
      <c r="AK84" s="113" t="n"/>
      <c r="AL84" s="81" t="n"/>
      <c r="AM84" s="81" t="n"/>
      <c r="AN84" s="81" t="n"/>
      <c r="AO84" s="113" t="n"/>
      <c r="AP84" s="113" t="n"/>
      <c r="AQ84" s="81" t="n"/>
      <c r="AR84" s="113" t="n"/>
      <c r="AS84" s="113" t="n"/>
      <c r="AT84" s="114" t="n"/>
      <c r="AU84" s="81" t="n"/>
      <c r="AV84" s="114" t="n"/>
      <c r="AW84" s="114" t="n"/>
      <c r="AX84" s="81" t="n"/>
      <c r="AY84" s="113" t="n"/>
      <c r="AZ84" s="115">
        <f>IF($B84="","",COUNTIF(References!$A$4:$A$503,$A84))</f>
        <v/>
      </c>
      <c r="BA84" s="115">
        <f>IF($B84="","",(LEN(A84)=0)+(LEN(B84)=0)+(LEN(D84)=0)+(LEN(G84)=0)+(LEN(H84)=0)+(LEN(I84)=0)+(LEN(J84)=0)+(LEN(L84)=0)+(LEN(M84)=0)+(LEN(O84)=0)+(LEN(R84)=0)+(LEN(X84)=0)+(LEN(AI84)=0)+(LEN(AJ84)=0)+(LEN(AQ84)=0)+(LEN(AR84)=0)+(LEN(AT84)=0)+(LEN(AU84)=0)+(LEN(AV84)=0)+(LEN(AX84)=0))</f>
        <v/>
      </c>
      <c r="BB84" s="115">
        <f>IF($B84="","",IF(AND(BA84=0,AZ84&gt;=1),"Complete","Incomplete"))</f>
        <v/>
      </c>
    </row>
    <row r="85" ht="15" customHeight="1" s="62">
      <c r="A85" s="81" t="n"/>
      <c r="B85" s="113" t="n"/>
      <c r="C85" s="81" t="n"/>
      <c r="D85" s="81" t="n"/>
      <c r="E85" s="81" t="n"/>
      <c r="F85" s="81" t="n"/>
      <c r="G85" s="81" t="n"/>
      <c r="H85" s="81" t="n"/>
      <c r="I85" s="81" t="n"/>
      <c r="J85" s="81" t="n"/>
      <c r="K85" s="81" t="n"/>
      <c r="L85" s="113" t="n"/>
      <c r="M85" s="81" t="n"/>
      <c r="N85" s="81" t="n"/>
      <c r="O85" s="81" t="n"/>
      <c r="P85" s="81" t="n"/>
      <c r="Q85" s="113" t="n"/>
      <c r="R85" s="113" t="n"/>
      <c r="S85" s="113" t="n"/>
      <c r="T85" s="81" t="n"/>
      <c r="U85" s="81" t="n"/>
      <c r="V85" s="113" t="n"/>
      <c r="W85" s="81" t="n"/>
      <c r="X85" s="81" t="n"/>
      <c r="Y85" s="81" t="n"/>
      <c r="Z85" s="81" t="n"/>
      <c r="AA85" s="81" t="n"/>
      <c r="AB85" s="81" t="n"/>
      <c r="AC85" s="81" t="n"/>
      <c r="AD85" s="81" t="n"/>
      <c r="AE85" s="81" t="n"/>
      <c r="AF85" s="81" t="n"/>
      <c r="AG85" s="81" t="n"/>
      <c r="AH85" s="113" t="n"/>
      <c r="AI85" s="81" t="n"/>
      <c r="AJ85" s="81" t="n"/>
      <c r="AK85" s="113" t="n"/>
      <c r="AL85" s="81" t="n"/>
      <c r="AM85" s="81" t="n"/>
      <c r="AN85" s="81" t="n"/>
      <c r="AO85" s="113" t="n"/>
      <c r="AP85" s="113" t="n"/>
      <c r="AQ85" s="81" t="n"/>
      <c r="AR85" s="113" t="n"/>
      <c r="AS85" s="113" t="n"/>
      <c r="AT85" s="114" t="n"/>
      <c r="AU85" s="81" t="n"/>
      <c r="AV85" s="114" t="n"/>
      <c r="AW85" s="114" t="n"/>
      <c r="AX85" s="81" t="n"/>
      <c r="AY85" s="113" t="n"/>
      <c r="AZ85" s="115">
        <f>IF($B85="","",COUNTIF(References!$A$4:$A$503,$A85))</f>
        <v/>
      </c>
      <c r="BA85" s="115">
        <f>IF($B85="","",(LEN(A85)=0)+(LEN(B85)=0)+(LEN(D85)=0)+(LEN(G85)=0)+(LEN(H85)=0)+(LEN(I85)=0)+(LEN(J85)=0)+(LEN(L85)=0)+(LEN(M85)=0)+(LEN(O85)=0)+(LEN(R85)=0)+(LEN(X85)=0)+(LEN(AI85)=0)+(LEN(AJ85)=0)+(LEN(AQ85)=0)+(LEN(AR85)=0)+(LEN(AT85)=0)+(LEN(AU85)=0)+(LEN(AV85)=0)+(LEN(AX85)=0))</f>
        <v/>
      </c>
      <c r="BB85" s="115">
        <f>IF($B85="","",IF(AND(BA85=0,AZ85&gt;=1),"Complete","Incomplete"))</f>
        <v/>
      </c>
    </row>
    <row r="86" ht="15" customHeight="1" s="62">
      <c r="A86" s="81" t="n"/>
      <c r="B86" s="113" t="n"/>
      <c r="C86" s="81" t="n"/>
      <c r="D86" s="81" t="n"/>
      <c r="E86" s="81" t="n"/>
      <c r="F86" s="81" t="n"/>
      <c r="G86" s="81" t="n"/>
      <c r="H86" s="81" t="n"/>
      <c r="I86" s="81" t="n"/>
      <c r="J86" s="81" t="n"/>
      <c r="K86" s="81" t="n"/>
      <c r="L86" s="113" t="n"/>
      <c r="M86" s="81" t="n"/>
      <c r="N86" s="81" t="n"/>
      <c r="O86" s="81" t="n"/>
      <c r="P86" s="81" t="n"/>
      <c r="Q86" s="113" t="n"/>
      <c r="R86" s="113" t="n"/>
      <c r="S86" s="113" t="n"/>
      <c r="T86" s="81" t="n"/>
      <c r="U86" s="81" t="n"/>
      <c r="V86" s="113" t="n"/>
      <c r="W86" s="81" t="n"/>
      <c r="X86" s="81" t="n"/>
      <c r="Y86" s="81" t="n"/>
      <c r="Z86" s="81" t="n"/>
      <c r="AA86" s="81" t="n"/>
      <c r="AB86" s="81" t="n"/>
      <c r="AC86" s="81" t="n"/>
      <c r="AD86" s="81" t="n"/>
      <c r="AE86" s="81" t="n"/>
      <c r="AF86" s="81" t="n"/>
      <c r="AG86" s="81" t="n"/>
      <c r="AH86" s="113" t="n"/>
      <c r="AI86" s="81" t="n"/>
      <c r="AJ86" s="81" t="n"/>
      <c r="AK86" s="113" t="n"/>
      <c r="AL86" s="81" t="n"/>
      <c r="AM86" s="81" t="n"/>
      <c r="AN86" s="81" t="n"/>
      <c r="AO86" s="113" t="n"/>
      <c r="AP86" s="113" t="n"/>
      <c r="AQ86" s="81" t="n"/>
      <c r="AR86" s="113" t="n"/>
      <c r="AS86" s="113" t="n"/>
      <c r="AT86" s="114" t="n"/>
      <c r="AU86" s="81" t="n"/>
      <c r="AV86" s="114" t="n"/>
      <c r="AW86" s="114" t="n"/>
      <c r="AX86" s="81" t="n"/>
      <c r="AY86" s="113" t="n"/>
      <c r="AZ86" s="115">
        <f>IF($B86="","",COUNTIF(References!$A$4:$A$503,$A86))</f>
        <v/>
      </c>
      <c r="BA86" s="115">
        <f>IF($B86="","",(LEN(A86)=0)+(LEN(B86)=0)+(LEN(D86)=0)+(LEN(G86)=0)+(LEN(H86)=0)+(LEN(I86)=0)+(LEN(J86)=0)+(LEN(L86)=0)+(LEN(M86)=0)+(LEN(O86)=0)+(LEN(R86)=0)+(LEN(X86)=0)+(LEN(AI86)=0)+(LEN(AJ86)=0)+(LEN(AQ86)=0)+(LEN(AR86)=0)+(LEN(AT86)=0)+(LEN(AU86)=0)+(LEN(AV86)=0)+(LEN(AX86)=0))</f>
        <v/>
      </c>
      <c r="BB86" s="115">
        <f>IF($B86="","",IF(AND(BA86=0,AZ86&gt;=1),"Complete","Incomplete"))</f>
        <v/>
      </c>
    </row>
    <row r="87" ht="15" customHeight="1" s="62">
      <c r="A87" s="81" t="n"/>
      <c r="B87" s="113" t="n"/>
      <c r="C87" s="81" t="n"/>
      <c r="D87" s="81" t="n"/>
      <c r="E87" s="81" t="n"/>
      <c r="F87" s="81" t="n"/>
      <c r="G87" s="81" t="n"/>
      <c r="H87" s="81" t="n"/>
      <c r="I87" s="81" t="n"/>
      <c r="J87" s="81" t="n"/>
      <c r="K87" s="81" t="n"/>
      <c r="L87" s="113" t="n"/>
      <c r="M87" s="81" t="n"/>
      <c r="N87" s="81" t="n"/>
      <c r="O87" s="81" t="n"/>
      <c r="P87" s="81" t="n"/>
      <c r="Q87" s="113" t="n"/>
      <c r="R87" s="113" t="n"/>
      <c r="S87" s="113" t="n"/>
      <c r="T87" s="81" t="n"/>
      <c r="U87" s="81" t="n"/>
      <c r="V87" s="113" t="n"/>
      <c r="W87" s="81" t="n"/>
      <c r="X87" s="81" t="n"/>
      <c r="Y87" s="81" t="n"/>
      <c r="Z87" s="81" t="n"/>
      <c r="AA87" s="81" t="n"/>
      <c r="AB87" s="81" t="n"/>
      <c r="AC87" s="81" t="n"/>
      <c r="AD87" s="81" t="n"/>
      <c r="AE87" s="81" t="n"/>
      <c r="AF87" s="81" t="n"/>
      <c r="AG87" s="81" t="n"/>
      <c r="AH87" s="113" t="n"/>
      <c r="AI87" s="81" t="n"/>
      <c r="AJ87" s="81" t="n"/>
      <c r="AK87" s="113" t="n"/>
      <c r="AL87" s="81" t="n"/>
      <c r="AM87" s="81" t="n"/>
      <c r="AN87" s="81" t="n"/>
      <c r="AO87" s="113" t="n"/>
      <c r="AP87" s="113" t="n"/>
      <c r="AQ87" s="81" t="n"/>
      <c r="AR87" s="113" t="n"/>
      <c r="AS87" s="113" t="n"/>
      <c r="AT87" s="114" t="n"/>
      <c r="AU87" s="81" t="n"/>
      <c r="AV87" s="114" t="n"/>
      <c r="AW87" s="114" t="n"/>
      <c r="AX87" s="81" t="n"/>
      <c r="AY87" s="113" t="n"/>
      <c r="AZ87" s="115">
        <f>IF($B87="","",COUNTIF(References!$A$4:$A$503,$A87))</f>
        <v/>
      </c>
      <c r="BA87" s="115">
        <f>IF($B87="","",(LEN(A87)=0)+(LEN(B87)=0)+(LEN(D87)=0)+(LEN(G87)=0)+(LEN(H87)=0)+(LEN(I87)=0)+(LEN(J87)=0)+(LEN(L87)=0)+(LEN(M87)=0)+(LEN(O87)=0)+(LEN(R87)=0)+(LEN(X87)=0)+(LEN(AI87)=0)+(LEN(AJ87)=0)+(LEN(AQ87)=0)+(LEN(AR87)=0)+(LEN(AT87)=0)+(LEN(AU87)=0)+(LEN(AV87)=0)+(LEN(AX87)=0))</f>
        <v/>
      </c>
      <c r="BB87" s="115">
        <f>IF($B87="","",IF(AND(BA87=0,AZ87&gt;=1),"Complete","Incomplete"))</f>
        <v/>
      </c>
    </row>
    <row r="88" ht="15" customHeight="1" s="62">
      <c r="A88" s="81" t="n"/>
      <c r="B88" s="113" t="n"/>
      <c r="C88" s="81" t="n"/>
      <c r="D88" s="81" t="n"/>
      <c r="E88" s="81" t="n"/>
      <c r="F88" s="81" t="n"/>
      <c r="G88" s="81" t="n"/>
      <c r="H88" s="81" t="n"/>
      <c r="I88" s="81" t="n"/>
      <c r="J88" s="81" t="n"/>
      <c r="K88" s="81" t="n"/>
      <c r="L88" s="113" t="n"/>
      <c r="M88" s="81" t="n"/>
      <c r="N88" s="81" t="n"/>
      <c r="O88" s="81" t="n"/>
      <c r="P88" s="81" t="n"/>
      <c r="Q88" s="113" t="n"/>
      <c r="R88" s="113" t="n"/>
      <c r="S88" s="113" t="n"/>
      <c r="T88" s="81" t="n"/>
      <c r="U88" s="81" t="n"/>
      <c r="V88" s="113" t="n"/>
      <c r="W88" s="81" t="n"/>
      <c r="X88" s="81" t="n"/>
      <c r="Y88" s="81" t="n"/>
      <c r="Z88" s="81" t="n"/>
      <c r="AA88" s="81" t="n"/>
      <c r="AB88" s="81" t="n"/>
      <c r="AC88" s="81" t="n"/>
      <c r="AD88" s="81" t="n"/>
      <c r="AE88" s="81" t="n"/>
      <c r="AF88" s="81" t="n"/>
      <c r="AG88" s="81" t="n"/>
      <c r="AH88" s="113" t="n"/>
      <c r="AI88" s="81" t="n"/>
      <c r="AJ88" s="81" t="n"/>
      <c r="AK88" s="113" t="n"/>
      <c r="AL88" s="81" t="n"/>
      <c r="AM88" s="81" t="n"/>
      <c r="AN88" s="81" t="n"/>
      <c r="AO88" s="113" t="n"/>
      <c r="AP88" s="113" t="n"/>
      <c r="AQ88" s="81" t="n"/>
      <c r="AR88" s="113" t="n"/>
      <c r="AS88" s="113" t="n"/>
      <c r="AT88" s="114" t="n"/>
      <c r="AU88" s="81" t="n"/>
      <c r="AV88" s="114" t="n"/>
      <c r="AW88" s="114" t="n"/>
      <c r="AX88" s="81" t="n"/>
      <c r="AY88" s="113" t="n"/>
      <c r="AZ88" s="115">
        <f>IF($B88="","",COUNTIF(References!$A$4:$A$503,$A88))</f>
        <v/>
      </c>
      <c r="BA88" s="115">
        <f>IF($B88="","",(LEN(A88)=0)+(LEN(B88)=0)+(LEN(D88)=0)+(LEN(G88)=0)+(LEN(H88)=0)+(LEN(I88)=0)+(LEN(J88)=0)+(LEN(L88)=0)+(LEN(M88)=0)+(LEN(O88)=0)+(LEN(R88)=0)+(LEN(X88)=0)+(LEN(AI88)=0)+(LEN(AJ88)=0)+(LEN(AQ88)=0)+(LEN(AR88)=0)+(LEN(AT88)=0)+(LEN(AU88)=0)+(LEN(AV88)=0)+(LEN(AX88)=0))</f>
        <v/>
      </c>
      <c r="BB88" s="115">
        <f>IF($B88="","",IF(AND(BA88=0,AZ88&gt;=1),"Complete","Incomplete"))</f>
        <v/>
      </c>
    </row>
    <row r="89" ht="15" customHeight="1" s="62">
      <c r="A89" s="81" t="n"/>
      <c r="B89" s="113" t="n"/>
      <c r="C89" s="81" t="n"/>
      <c r="D89" s="81" t="n"/>
      <c r="E89" s="81" t="n"/>
      <c r="F89" s="81" t="n"/>
      <c r="G89" s="81" t="n"/>
      <c r="H89" s="81" t="n"/>
      <c r="I89" s="81" t="n"/>
      <c r="J89" s="81" t="n"/>
      <c r="K89" s="81" t="n"/>
      <c r="L89" s="113" t="n"/>
      <c r="M89" s="81" t="n"/>
      <c r="N89" s="81" t="n"/>
      <c r="O89" s="81" t="n"/>
      <c r="P89" s="81" t="n"/>
      <c r="Q89" s="113" t="n"/>
      <c r="R89" s="113" t="n"/>
      <c r="S89" s="113" t="n"/>
      <c r="T89" s="81" t="n"/>
      <c r="U89" s="81" t="n"/>
      <c r="V89" s="113" t="n"/>
      <c r="W89" s="81" t="n"/>
      <c r="X89" s="81" t="n"/>
      <c r="Y89" s="81" t="n"/>
      <c r="Z89" s="81" t="n"/>
      <c r="AA89" s="81" t="n"/>
      <c r="AB89" s="81" t="n"/>
      <c r="AC89" s="81" t="n"/>
      <c r="AD89" s="81" t="n"/>
      <c r="AE89" s="81" t="n"/>
      <c r="AF89" s="81" t="n"/>
      <c r="AG89" s="81" t="n"/>
      <c r="AH89" s="113" t="n"/>
      <c r="AI89" s="81" t="n"/>
      <c r="AJ89" s="81" t="n"/>
      <c r="AK89" s="113" t="n"/>
      <c r="AL89" s="81" t="n"/>
      <c r="AM89" s="81" t="n"/>
      <c r="AN89" s="81" t="n"/>
      <c r="AO89" s="113" t="n"/>
      <c r="AP89" s="113" t="n"/>
      <c r="AQ89" s="81" t="n"/>
      <c r="AR89" s="113" t="n"/>
      <c r="AS89" s="113" t="n"/>
      <c r="AT89" s="114" t="n"/>
      <c r="AU89" s="81" t="n"/>
      <c r="AV89" s="114" t="n"/>
      <c r="AW89" s="114" t="n"/>
      <c r="AX89" s="81" t="n"/>
      <c r="AY89" s="113" t="n"/>
      <c r="AZ89" s="115">
        <f>IF($B89="","",COUNTIF(References!$A$4:$A$503,$A89))</f>
        <v/>
      </c>
      <c r="BA89" s="115">
        <f>IF($B89="","",(LEN(A89)=0)+(LEN(B89)=0)+(LEN(D89)=0)+(LEN(G89)=0)+(LEN(H89)=0)+(LEN(I89)=0)+(LEN(J89)=0)+(LEN(L89)=0)+(LEN(M89)=0)+(LEN(O89)=0)+(LEN(R89)=0)+(LEN(X89)=0)+(LEN(AI89)=0)+(LEN(AJ89)=0)+(LEN(AQ89)=0)+(LEN(AR89)=0)+(LEN(AT89)=0)+(LEN(AU89)=0)+(LEN(AV89)=0)+(LEN(AX89)=0))</f>
        <v/>
      </c>
      <c r="BB89" s="115">
        <f>IF($B89="","",IF(AND(BA89=0,AZ89&gt;=1),"Complete","Incomplete"))</f>
        <v/>
      </c>
    </row>
    <row r="90" ht="15" customHeight="1" s="62">
      <c r="A90" s="81" t="n"/>
      <c r="B90" s="113" t="n"/>
      <c r="C90" s="81" t="n"/>
      <c r="D90" s="81" t="n"/>
      <c r="E90" s="81" t="n"/>
      <c r="F90" s="81" t="n"/>
      <c r="G90" s="81" t="n"/>
      <c r="H90" s="81" t="n"/>
      <c r="I90" s="81" t="n"/>
      <c r="J90" s="81" t="n"/>
      <c r="K90" s="81" t="n"/>
      <c r="L90" s="113" t="n"/>
      <c r="M90" s="81" t="n"/>
      <c r="N90" s="81" t="n"/>
      <c r="O90" s="81" t="n"/>
      <c r="P90" s="81" t="n"/>
      <c r="Q90" s="113" t="n"/>
      <c r="R90" s="113" t="n"/>
      <c r="S90" s="113" t="n"/>
      <c r="T90" s="81" t="n"/>
      <c r="U90" s="81" t="n"/>
      <c r="V90" s="113" t="n"/>
      <c r="W90" s="81" t="n"/>
      <c r="X90" s="81" t="n"/>
      <c r="Y90" s="81" t="n"/>
      <c r="Z90" s="81" t="n"/>
      <c r="AA90" s="81" t="n"/>
      <c r="AB90" s="81" t="n"/>
      <c r="AC90" s="81" t="n"/>
      <c r="AD90" s="81" t="n"/>
      <c r="AE90" s="81" t="n"/>
      <c r="AF90" s="81" t="n"/>
      <c r="AG90" s="81" t="n"/>
      <c r="AH90" s="113" t="n"/>
      <c r="AI90" s="81" t="n"/>
      <c r="AJ90" s="81" t="n"/>
      <c r="AK90" s="113" t="n"/>
      <c r="AL90" s="81" t="n"/>
      <c r="AM90" s="81" t="n"/>
      <c r="AN90" s="81" t="n"/>
      <c r="AO90" s="113" t="n"/>
      <c r="AP90" s="113" t="n"/>
      <c r="AQ90" s="81" t="n"/>
      <c r="AR90" s="113" t="n"/>
      <c r="AS90" s="113" t="n"/>
      <c r="AT90" s="114" t="n"/>
      <c r="AU90" s="81" t="n"/>
      <c r="AV90" s="114" t="n"/>
      <c r="AW90" s="114" t="n"/>
      <c r="AX90" s="81" t="n"/>
      <c r="AY90" s="113" t="n"/>
      <c r="AZ90" s="115">
        <f>IF($B90="","",COUNTIF(References!$A$4:$A$503,$A90))</f>
        <v/>
      </c>
      <c r="BA90" s="115">
        <f>IF($B90="","",(LEN(A90)=0)+(LEN(B90)=0)+(LEN(D90)=0)+(LEN(G90)=0)+(LEN(H90)=0)+(LEN(I90)=0)+(LEN(J90)=0)+(LEN(L90)=0)+(LEN(M90)=0)+(LEN(O90)=0)+(LEN(R90)=0)+(LEN(X90)=0)+(LEN(AI90)=0)+(LEN(AJ90)=0)+(LEN(AQ90)=0)+(LEN(AR90)=0)+(LEN(AT90)=0)+(LEN(AU90)=0)+(LEN(AV90)=0)+(LEN(AX90)=0))</f>
        <v/>
      </c>
      <c r="BB90" s="115">
        <f>IF($B90="","",IF(AND(BA90=0,AZ90&gt;=1),"Complete","Incomplete"))</f>
        <v/>
      </c>
    </row>
    <row r="91" ht="15" customHeight="1" s="62">
      <c r="A91" s="81" t="n"/>
      <c r="B91" s="113" t="n"/>
      <c r="C91" s="81" t="n"/>
      <c r="D91" s="81" t="n"/>
      <c r="E91" s="81" t="n"/>
      <c r="F91" s="81" t="n"/>
      <c r="G91" s="81" t="n"/>
      <c r="H91" s="81" t="n"/>
      <c r="I91" s="81" t="n"/>
      <c r="J91" s="81" t="n"/>
      <c r="K91" s="81" t="n"/>
      <c r="L91" s="113" t="n"/>
      <c r="M91" s="81" t="n"/>
      <c r="N91" s="81" t="n"/>
      <c r="O91" s="81" t="n"/>
      <c r="P91" s="81" t="n"/>
      <c r="Q91" s="113" t="n"/>
      <c r="R91" s="113" t="n"/>
      <c r="S91" s="113" t="n"/>
      <c r="T91" s="81" t="n"/>
      <c r="U91" s="81" t="n"/>
      <c r="V91" s="113" t="n"/>
      <c r="W91" s="81" t="n"/>
      <c r="X91" s="81" t="n"/>
      <c r="Y91" s="81" t="n"/>
      <c r="Z91" s="81" t="n"/>
      <c r="AA91" s="81" t="n"/>
      <c r="AB91" s="81" t="n"/>
      <c r="AC91" s="81" t="n"/>
      <c r="AD91" s="81" t="n"/>
      <c r="AE91" s="81" t="n"/>
      <c r="AF91" s="81" t="n"/>
      <c r="AG91" s="81" t="n"/>
      <c r="AH91" s="113" t="n"/>
      <c r="AI91" s="81" t="n"/>
      <c r="AJ91" s="81" t="n"/>
      <c r="AK91" s="113" t="n"/>
      <c r="AL91" s="81" t="n"/>
      <c r="AM91" s="81" t="n"/>
      <c r="AN91" s="81" t="n"/>
      <c r="AO91" s="113" t="n"/>
      <c r="AP91" s="113" t="n"/>
      <c r="AQ91" s="81" t="n"/>
      <c r="AR91" s="113" t="n"/>
      <c r="AS91" s="113" t="n"/>
      <c r="AT91" s="114" t="n"/>
      <c r="AU91" s="81" t="n"/>
      <c r="AV91" s="114" t="n"/>
      <c r="AW91" s="114" t="n"/>
      <c r="AX91" s="81" t="n"/>
      <c r="AY91" s="113" t="n"/>
      <c r="AZ91" s="115">
        <f>IF($B91="","",COUNTIF(References!$A$4:$A$503,$A91))</f>
        <v/>
      </c>
      <c r="BA91" s="115">
        <f>IF($B91="","",(LEN(A91)=0)+(LEN(B91)=0)+(LEN(D91)=0)+(LEN(G91)=0)+(LEN(H91)=0)+(LEN(I91)=0)+(LEN(J91)=0)+(LEN(L91)=0)+(LEN(M91)=0)+(LEN(O91)=0)+(LEN(R91)=0)+(LEN(X91)=0)+(LEN(AI91)=0)+(LEN(AJ91)=0)+(LEN(AQ91)=0)+(LEN(AR91)=0)+(LEN(AT91)=0)+(LEN(AU91)=0)+(LEN(AV91)=0)+(LEN(AX91)=0))</f>
        <v/>
      </c>
      <c r="BB91" s="115">
        <f>IF($B91="","",IF(AND(BA91=0,AZ91&gt;=1),"Complete","Incomplete"))</f>
        <v/>
      </c>
    </row>
    <row r="92" ht="15" customHeight="1" s="62">
      <c r="A92" s="81" t="n"/>
      <c r="B92" s="113" t="n"/>
      <c r="C92" s="81" t="n"/>
      <c r="D92" s="81" t="n"/>
      <c r="E92" s="81" t="n"/>
      <c r="F92" s="81" t="n"/>
      <c r="G92" s="81" t="n"/>
      <c r="H92" s="81" t="n"/>
      <c r="I92" s="81" t="n"/>
      <c r="J92" s="81" t="n"/>
      <c r="K92" s="81" t="n"/>
      <c r="L92" s="113" t="n"/>
      <c r="M92" s="81" t="n"/>
      <c r="N92" s="81" t="n"/>
      <c r="O92" s="81" t="n"/>
      <c r="P92" s="81" t="n"/>
      <c r="Q92" s="113" t="n"/>
      <c r="R92" s="113" t="n"/>
      <c r="S92" s="113" t="n"/>
      <c r="T92" s="81" t="n"/>
      <c r="U92" s="81" t="n"/>
      <c r="V92" s="113" t="n"/>
      <c r="W92" s="81" t="n"/>
      <c r="X92" s="81" t="n"/>
      <c r="Y92" s="81" t="n"/>
      <c r="Z92" s="81" t="n"/>
      <c r="AA92" s="81" t="n"/>
      <c r="AB92" s="81" t="n"/>
      <c r="AC92" s="81" t="n"/>
      <c r="AD92" s="81" t="n"/>
      <c r="AE92" s="81" t="n"/>
      <c r="AF92" s="81" t="n"/>
      <c r="AG92" s="81" t="n"/>
      <c r="AH92" s="113" t="n"/>
      <c r="AI92" s="81" t="n"/>
      <c r="AJ92" s="81" t="n"/>
      <c r="AK92" s="113" t="n"/>
      <c r="AL92" s="81" t="n"/>
      <c r="AM92" s="81" t="n"/>
      <c r="AN92" s="81" t="n"/>
      <c r="AO92" s="113" t="n"/>
      <c r="AP92" s="113" t="n"/>
      <c r="AQ92" s="81" t="n"/>
      <c r="AR92" s="113" t="n"/>
      <c r="AS92" s="113" t="n"/>
      <c r="AT92" s="114" t="n"/>
      <c r="AU92" s="81" t="n"/>
      <c r="AV92" s="114" t="n"/>
      <c r="AW92" s="114" t="n"/>
      <c r="AX92" s="81" t="n"/>
      <c r="AY92" s="113" t="n"/>
      <c r="AZ92" s="115">
        <f>IF($B92="","",COUNTIF(References!$A$4:$A$503,$A92))</f>
        <v/>
      </c>
      <c r="BA92" s="115">
        <f>IF($B92="","",(LEN(A92)=0)+(LEN(B92)=0)+(LEN(D92)=0)+(LEN(G92)=0)+(LEN(H92)=0)+(LEN(I92)=0)+(LEN(J92)=0)+(LEN(L92)=0)+(LEN(M92)=0)+(LEN(O92)=0)+(LEN(R92)=0)+(LEN(X92)=0)+(LEN(AI92)=0)+(LEN(AJ92)=0)+(LEN(AQ92)=0)+(LEN(AR92)=0)+(LEN(AT92)=0)+(LEN(AU92)=0)+(LEN(AV92)=0)+(LEN(AX92)=0))</f>
        <v/>
      </c>
      <c r="BB92" s="115">
        <f>IF($B92="","",IF(AND(BA92=0,AZ92&gt;=1),"Complete","Incomplete"))</f>
        <v/>
      </c>
    </row>
    <row r="93" ht="15" customHeight="1" s="62">
      <c r="A93" s="81" t="n"/>
      <c r="B93" s="113" t="n"/>
      <c r="C93" s="81" t="n"/>
      <c r="D93" s="81" t="n"/>
      <c r="E93" s="81" t="n"/>
      <c r="F93" s="81" t="n"/>
      <c r="G93" s="81" t="n"/>
      <c r="H93" s="81" t="n"/>
      <c r="I93" s="81" t="n"/>
      <c r="J93" s="81" t="n"/>
      <c r="K93" s="81" t="n"/>
      <c r="L93" s="113" t="n"/>
      <c r="M93" s="81" t="n"/>
      <c r="N93" s="81" t="n"/>
      <c r="O93" s="81" t="n"/>
      <c r="P93" s="81" t="n"/>
      <c r="Q93" s="113" t="n"/>
      <c r="R93" s="113" t="n"/>
      <c r="S93" s="113" t="n"/>
      <c r="T93" s="81" t="n"/>
      <c r="U93" s="81" t="n"/>
      <c r="V93" s="113" t="n"/>
      <c r="W93" s="81" t="n"/>
      <c r="X93" s="81" t="n"/>
      <c r="Y93" s="81" t="n"/>
      <c r="Z93" s="81" t="n"/>
      <c r="AA93" s="81" t="n"/>
      <c r="AB93" s="81" t="n"/>
      <c r="AC93" s="81" t="n"/>
      <c r="AD93" s="81" t="n"/>
      <c r="AE93" s="81" t="n"/>
      <c r="AF93" s="81" t="n"/>
      <c r="AG93" s="81" t="n"/>
      <c r="AH93" s="113" t="n"/>
      <c r="AI93" s="81" t="n"/>
      <c r="AJ93" s="81" t="n"/>
      <c r="AK93" s="113" t="n"/>
      <c r="AL93" s="81" t="n"/>
      <c r="AM93" s="81" t="n"/>
      <c r="AN93" s="81" t="n"/>
      <c r="AO93" s="113" t="n"/>
      <c r="AP93" s="113" t="n"/>
      <c r="AQ93" s="81" t="n"/>
      <c r="AR93" s="113" t="n"/>
      <c r="AS93" s="113" t="n"/>
      <c r="AT93" s="114" t="n"/>
      <c r="AU93" s="81" t="n"/>
      <c r="AV93" s="114" t="n"/>
      <c r="AW93" s="114" t="n"/>
      <c r="AX93" s="81" t="n"/>
      <c r="AY93" s="113" t="n"/>
      <c r="AZ93" s="115">
        <f>IF($B93="","",COUNTIF(References!$A$4:$A$503,$A93))</f>
        <v/>
      </c>
      <c r="BA93" s="115">
        <f>IF($B93="","",(LEN(A93)=0)+(LEN(B93)=0)+(LEN(D93)=0)+(LEN(G93)=0)+(LEN(H93)=0)+(LEN(I93)=0)+(LEN(J93)=0)+(LEN(L93)=0)+(LEN(M93)=0)+(LEN(O93)=0)+(LEN(R93)=0)+(LEN(X93)=0)+(LEN(AI93)=0)+(LEN(AJ93)=0)+(LEN(AQ93)=0)+(LEN(AR93)=0)+(LEN(AT93)=0)+(LEN(AU93)=0)+(LEN(AV93)=0)+(LEN(AX93)=0))</f>
        <v/>
      </c>
      <c r="BB93" s="115">
        <f>IF($B93="","",IF(AND(BA93=0,AZ93&gt;=1),"Complete","Incomplete"))</f>
        <v/>
      </c>
    </row>
    <row r="94" ht="15" customHeight="1" s="62">
      <c r="A94" s="81" t="n"/>
      <c r="B94" s="113" t="n"/>
      <c r="C94" s="81" t="n"/>
      <c r="D94" s="81" t="n"/>
      <c r="E94" s="81" t="n"/>
      <c r="F94" s="81" t="n"/>
      <c r="G94" s="81" t="n"/>
      <c r="H94" s="81" t="n"/>
      <c r="I94" s="81" t="n"/>
      <c r="J94" s="81" t="n"/>
      <c r="K94" s="81" t="n"/>
      <c r="L94" s="113" t="n"/>
      <c r="M94" s="81" t="n"/>
      <c r="N94" s="81" t="n"/>
      <c r="O94" s="81" t="n"/>
      <c r="P94" s="81" t="n"/>
      <c r="Q94" s="113" t="n"/>
      <c r="R94" s="113" t="n"/>
      <c r="S94" s="113" t="n"/>
      <c r="T94" s="81" t="n"/>
      <c r="U94" s="81" t="n"/>
      <c r="V94" s="113" t="n"/>
      <c r="W94" s="81" t="n"/>
      <c r="X94" s="81" t="n"/>
      <c r="Y94" s="81" t="n"/>
      <c r="Z94" s="81" t="n"/>
      <c r="AA94" s="81" t="n"/>
      <c r="AB94" s="81" t="n"/>
      <c r="AC94" s="81" t="n"/>
      <c r="AD94" s="81" t="n"/>
      <c r="AE94" s="81" t="n"/>
      <c r="AF94" s="81" t="n"/>
      <c r="AG94" s="81" t="n"/>
      <c r="AH94" s="113" t="n"/>
      <c r="AI94" s="81" t="n"/>
      <c r="AJ94" s="81" t="n"/>
      <c r="AK94" s="113" t="n"/>
      <c r="AL94" s="81" t="n"/>
      <c r="AM94" s="81" t="n"/>
      <c r="AN94" s="81" t="n"/>
      <c r="AO94" s="113" t="n"/>
      <c r="AP94" s="113" t="n"/>
      <c r="AQ94" s="81" t="n"/>
      <c r="AR94" s="113" t="n"/>
      <c r="AS94" s="113" t="n"/>
      <c r="AT94" s="114" t="n"/>
      <c r="AU94" s="81" t="n"/>
      <c r="AV94" s="114" t="n"/>
      <c r="AW94" s="114" t="n"/>
      <c r="AX94" s="81" t="n"/>
      <c r="AY94" s="113" t="n"/>
      <c r="AZ94" s="115">
        <f>IF($B94="","",COUNTIF(References!$A$4:$A$503,$A94))</f>
        <v/>
      </c>
      <c r="BA94" s="115">
        <f>IF($B94="","",(LEN(A94)=0)+(LEN(B94)=0)+(LEN(D94)=0)+(LEN(G94)=0)+(LEN(H94)=0)+(LEN(I94)=0)+(LEN(J94)=0)+(LEN(L94)=0)+(LEN(M94)=0)+(LEN(O94)=0)+(LEN(R94)=0)+(LEN(X94)=0)+(LEN(AI94)=0)+(LEN(AJ94)=0)+(LEN(AQ94)=0)+(LEN(AR94)=0)+(LEN(AT94)=0)+(LEN(AU94)=0)+(LEN(AV94)=0)+(LEN(AX94)=0))</f>
        <v/>
      </c>
      <c r="BB94" s="115">
        <f>IF($B94="","",IF(AND(BA94=0,AZ94&gt;=1),"Complete","Incomplete"))</f>
        <v/>
      </c>
    </row>
    <row r="95" ht="15" customHeight="1" s="62">
      <c r="A95" s="81" t="n"/>
      <c r="B95" s="113" t="n"/>
      <c r="C95" s="81" t="n"/>
      <c r="D95" s="81" t="n"/>
      <c r="E95" s="81" t="n"/>
      <c r="F95" s="81" t="n"/>
      <c r="G95" s="81" t="n"/>
      <c r="H95" s="81" t="n"/>
      <c r="I95" s="81" t="n"/>
      <c r="J95" s="81" t="n"/>
      <c r="K95" s="81" t="n"/>
      <c r="L95" s="113" t="n"/>
      <c r="M95" s="81" t="n"/>
      <c r="N95" s="81" t="n"/>
      <c r="O95" s="81" t="n"/>
      <c r="P95" s="81" t="n"/>
      <c r="Q95" s="113" t="n"/>
      <c r="R95" s="113" t="n"/>
      <c r="S95" s="113" t="n"/>
      <c r="T95" s="81" t="n"/>
      <c r="U95" s="81" t="n"/>
      <c r="V95" s="113" t="n"/>
      <c r="W95" s="81" t="n"/>
      <c r="X95" s="81" t="n"/>
      <c r="Y95" s="81" t="n"/>
      <c r="Z95" s="81" t="n"/>
      <c r="AA95" s="81" t="n"/>
      <c r="AB95" s="81" t="n"/>
      <c r="AC95" s="81" t="n"/>
      <c r="AD95" s="81" t="n"/>
      <c r="AE95" s="81" t="n"/>
      <c r="AF95" s="81" t="n"/>
      <c r="AG95" s="81" t="n"/>
      <c r="AH95" s="113" t="n"/>
      <c r="AI95" s="81" t="n"/>
      <c r="AJ95" s="81" t="n"/>
      <c r="AK95" s="113" t="n"/>
      <c r="AL95" s="81" t="n"/>
      <c r="AM95" s="81" t="n"/>
      <c r="AN95" s="81" t="n"/>
      <c r="AO95" s="113" t="n"/>
      <c r="AP95" s="113" t="n"/>
      <c r="AQ95" s="81" t="n"/>
      <c r="AR95" s="113" t="n"/>
      <c r="AS95" s="113" t="n"/>
      <c r="AT95" s="114" t="n"/>
      <c r="AU95" s="81" t="n"/>
      <c r="AV95" s="114" t="n"/>
      <c r="AW95" s="114" t="n"/>
      <c r="AX95" s="81" t="n"/>
      <c r="AY95" s="113" t="n"/>
      <c r="AZ95" s="115">
        <f>IF($B95="","",COUNTIF(References!$A$4:$A$503,$A95))</f>
        <v/>
      </c>
      <c r="BA95" s="115">
        <f>IF($B95="","",(LEN(A95)=0)+(LEN(B95)=0)+(LEN(D95)=0)+(LEN(G95)=0)+(LEN(H95)=0)+(LEN(I95)=0)+(LEN(J95)=0)+(LEN(L95)=0)+(LEN(M95)=0)+(LEN(O95)=0)+(LEN(R95)=0)+(LEN(X95)=0)+(LEN(AI95)=0)+(LEN(AJ95)=0)+(LEN(AQ95)=0)+(LEN(AR95)=0)+(LEN(AT95)=0)+(LEN(AU95)=0)+(LEN(AV95)=0)+(LEN(AX95)=0))</f>
        <v/>
      </c>
      <c r="BB95" s="115">
        <f>IF($B95="","",IF(AND(BA95=0,AZ95&gt;=1),"Complete","Incomplete"))</f>
        <v/>
      </c>
    </row>
    <row r="96" ht="15" customHeight="1" s="62">
      <c r="A96" s="81" t="n"/>
      <c r="B96" s="113" t="n"/>
      <c r="C96" s="81" t="n"/>
      <c r="D96" s="81" t="n"/>
      <c r="E96" s="81" t="n"/>
      <c r="F96" s="81" t="n"/>
      <c r="G96" s="81" t="n"/>
      <c r="H96" s="81" t="n"/>
      <c r="I96" s="81" t="n"/>
      <c r="J96" s="81" t="n"/>
      <c r="K96" s="81" t="n"/>
      <c r="L96" s="113" t="n"/>
      <c r="M96" s="81" t="n"/>
      <c r="N96" s="81" t="n"/>
      <c r="O96" s="81" t="n"/>
      <c r="P96" s="81" t="n"/>
      <c r="Q96" s="113" t="n"/>
      <c r="R96" s="113" t="n"/>
      <c r="S96" s="113" t="n"/>
      <c r="T96" s="81" t="n"/>
      <c r="U96" s="81" t="n"/>
      <c r="V96" s="113" t="n"/>
      <c r="W96" s="81" t="n"/>
      <c r="X96" s="81" t="n"/>
      <c r="Y96" s="81" t="n"/>
      <c r="Z96" s="81" t="n"/>
      <c r="AA96" s="81" t="n"/>
      <c r="AB96" s="81" t="n"/>
      <c r="AC96" s="81" t="n"/>
      <c r="AD96" s="81" t="n"/>
      <c r="AE96" s="81" t="n"/>
      <c r="AF96" s="81" t="n"/>
      <c r="AG96" s="81" t="n"/>
      <c r="AH96" s="113" t="n"/>
      <c r="AI96" s="81" t="n"/>
      <c r="AJ96" s="81" t="n"/>
      <c r="AK96" s="113" t="n"/>
      <c r="AL96" s="81" t="n"/>
      <c r="AM96" s="81" t="n"/>
      <c r="AN96" s="81" t="n"/>
      <c r="AO96" s="113" t="n"/>
      <c r="AP96" s="113" t="n"/>
      <c r="AQ96" s="81" t="n"/>
      <c r="AR96" s="113" t="n"/>
      <c r="AS96" s="113" t="n"/>
      <c r="AT96" s="114" t="n"/>
      <c r="AU96" s="81" t="n"/>
      <c r="AV96" s="114" t="n"/>
      <c r="AW96" s="114" t="n"/>
      <c r="AX96" s="81" t="n"/>
      <c r="AY96" s="113" t="n"/>
      <c r="AZ96" s="115">
        <f>IF($B96="","",COUNTIF(References!$A$4:$A$503,$A96))</f>
        <v/>
      </c>
      <c r="BA96" s="115">
        <f>IF($B96="","",(LEN(A96)=0)+(LEN(B96)=0)+(LEN(D96)=0)+(LEN(G96)=0)+(LEN(H96)=0)+(LEN(I96)=0)+(LEN(J96)=0)+(LEN(L96)=0)+(LEN(M96)=0)+(LEN(O96)=0)+(LEN(R96)=0)+(LEN(X96)=0)+(LEN(AI96)=0)+(LEN(AJ96)=0)+(LEN(AQ96)=0)+(LEN(AR96)=0)+(LEN(AT96)=0)+(LEN(AU96)=0)+(LEN(AV96)=0)+(LEN(AX96)=0))</f>
        <v/>
      </c>
      <c r="BB96" s="115">
        <f>IF($B96="","",IF(AND(BA96=0,AZ96&gt;=1),"Complete","Incomplete"))</f>
        <v/>
      </c>
    </row>
    <row r="97" ht="15" customHeight="1" s="62">
      <c r="A97" s="81" t="n"/>
      <c r="B97" s="113" t="n"/>
      <c r="C97" s="81" t="n"/>
      <c r="D97" s="81" t="n"/>
      <c r="E97" s="81" t="n"/>
      <c r="F97" s="81" t="n"/>
      <c r="G97" s="81" t="n"/>
      <c r="H97" s="81" t="n"/>
      <c r="I97" s="81" t="n"/>
      <c r="J97" s="81" t="n"/>
      <c r="K97" s="81" t="n"/>
      <c r="L97" s="113" t="n"/>
      <c r="M97" s="81" t="n"/>
      <c r="N97" s="81" t="n"/>
      <c r="O97" s="81" t="n"/>
      <c r="P97" s="81" t="n"/>
      <c r="Q97" s="113" t="n"/>
      <c r="R97" s="113" t="n"/>
      <c r="S97" s="113" t="n"/>
      <c r="T97" s="81" t="n"/>
      <c r="U97" s="81" t="n"/>
      <c r="V97" s="113" t="n"/>
      <c r="W97" s="81" t="n"/>
      <c r="X97" s="81" t="n"/>
      <c r="Y97" s="81" t="n"/>
      <c r="Z97" s="81" t="n"/>
      <c r="AA97" s="81" t="n"/>
      <c r="AB97" s="81" t="n"/>
      <c r="AC97" s="81" t="n"/>
      <c r="AD97" s="81" t="n"/>
      <c r="AE97" s="81" t="n"/>
      <c r="AF97" s="81" t="n"/>
      <c r="AG97" s="81" t="n"/>
      <c r="AH97" s="113" t="n"/>
      <c r="AI97" s="81" t="n"/>
      <c r="AJ97" s="81" t="n"/>
      <c r="AK97" s="113" t="n"/>
      <c r="AL97" s="81" t="n"/>
      <c r="AM97" s="81" t="n"/>
      <c r="AN97" s="81" t="n"/>
      <c r="AO97" s="113" t="n"/>
      <c r="AP97" s="113" t="n"/>
      <c r="AQ97" s="81" t="n"/>
      <c r="AR97" s="113" t="n"/>
      <c r="AS97" s="113" t="n"/>
      <c r="AT97" s="114" t="n"/>
      <c r="AU97" s="81" t="n"/>
      <c r="AV97" s="114" t="n"/>
      <c r="AW97" s="114" t="n"/>
      <c r="AX97" s="81" t="n"/>
      <c r="AY97" s="113" t="n"/>
      <c r="AZ97" s="115">
        <f>IF($B97="","",COUNTIF(References!$A$4:$A$503,$A97))</f>
        <v/>
      </c>
      <c r="BA97" s="115">
        <f>IF($B97="","",(LEN(A97)=0)+(LEN(B97)=0)+(LEN(D97)=0)+(LEN(G97)=0)+(LEN(H97)=0)+(LEN(I97)=0)+(LEN(J97)=0)+(LEN(L97)=0)+(LEN(M97)=0)+(LEN(O97)=0)+(LEN(R97)=0)+(LEN(X97)=0)+(LEN(AI97)=0)+(LEN(AJ97)=0)+(LEN(AQ97)=0)+(LEN(AR97)=0)+(LEN(AT97)=0)+(LEN(AU97)=0)+(LEN(AV97)=0)+(LEN(AX97)=0))</f>
        <v/>
      </c>
      <c r="BB97" s="115">
        <f>IF($B97="","",IF(AND(BA97=0,AZ97&gt;=1),"Complete","Incomplete"))</f>
        <v/>
      </c>
    </row>
    <row r="98" ht="15" customHeight="1" s="62">
      <c r="A98" s="81" t="n"/>
      <c r="B98" s="113" t="n"/>
      <c r="C98" s="81" t="n"/>
      <c r="D98" s="81" t="n"/>
      <c r="E98" s="81" t="n"/>
      <c r="F98" s="81" t="n"/>
      <c r="G98" s="81" t="n"/>
      <c r="H98" s="81" t="n"/>
      <c r="I98" s="81" t="n"/>
      <c r="J98" s="81" t="n"/>
      <c r="K98" s="81" t="n"/>
      <c r="L98" s="113" t="n"/>
      <c r="M98" s="81" t="n"/>
      <c r="N98" s="81" t="n"/>
      <c r="O98" s="81" t="n"/>
      <c r="P98" s="81" t="n"/>
      <c r="Q98" s="113" t="n"/>
      <c r="R98" s="113" t="n"/>
      <c r="S98" s="113" t="n"/>
      <c r="T98" s="81" t="n"/>
      <c r="U98" s="81" t="n"/>
      <c r="V98" s="113" t="n"/>
      <c r="W98" s="81" t="n"/>
      <c r="X98" s="81" t="n"/>
      <c r="Y98" s="81" t="n"/>
      <c r="Z98" s="81" t="n"/>
      <c r="AA98" s="81" t="n"/>
      <c r="AB98" s="81" t="n"/>
      <c r="AC98" s="81" t="n"/>
      <c r="AD98" s="81" t="n"/>
      <c r="AE98" s="81" t="n"/>
      <c r="AF98" s="81" t="n"/>
      <c r="AG98" s="81" t="n"/>
      <c r="AH98" s="113" t="n"/>
      <c r="AI98" s="81" t="n"/>
      <c r="AJ98" s="81" t="n"/>
      <c r="AK98" s="113" t="n"/>
      <c r="AL98" s="81" t="n"/>
      <c r="AM98" s="81" t="n"/>
      <c r="AN98" s="81" t="n"/>
      <c r="AO98" s="113" t="n"/>
      <c r="AP98" s="113" t="n"/>
      <c r="AQ98" s="81" t="n"/>
      <c r="AR98" s="113" t="n"/>
      <c r="AS98" s="113" t="n"/>
      <c r="AT98" s="114" t="n"/>
      <c r="AU98" s="81" t="n"/>
      <c r="AV98" s="114" t="n"/>
      <c r="AW98" s="114" t="n"/>
      <c r="AX98" s="81" t="n"/>
      <c r="AY98" s="113" t="n"/>
      <c r="AZ98" s="115">
        <f>IF($B98="","",COUNTIF(References!$A$4:$A$503,$A98))</f>
        <v/>
      </c>
      <c r="BA98" s="115">
        <f>IF($B98="","",(LEN(A98)=0)+(LEN(B98)=0)+(LEN(D98)=0)+(LEN(G98)=0)+(LEN(H98)=0)+(LEN(I98)=0)+(LEN(J98)=0)+(LEN(L98)=0)+(LEN(M98)=0)+(LEN(O98)=0)+(LEN(R98)=0)+(LEN(X98)=0)+(LEN(AI98)=0)+(LEN(AJ98)=0)+(LEN(AQ98)=0)+(LEN(AR98)=0)+(LEN(AT98)=0)+(LEN(AU98)=0)+(LEN(AV98)=0)+(LEN(AX98)=0))</f>
        <v/>
      </c>
      <c r="BB98" s="115">
        <f>IF($B98="","",IF(AND(BA98=0,AZ98&gt;=1),"Complete","Incomplete"))</f>
        <v/>
      </c>
    </row>
    <row r="99" ht="15" customHeight="1" s="62">
      <c r="A99" s="81" t="n"/>
      <c r="B99" s="113" t="n"/>
      <c r="C99" s="81" t="n"/>
      <c r="D99" s="81" t="n"/>
      <c r="E99" s="81" t="n"/>
      <c r="F99" s="81" t="n"/>
      <c r="G99" s="81" t="n"/>
      <c r="H99" s="81" t="n"/>
      <c r="I99" s="81" t="n"/>
      <c r="J99" s="81" t="n"/>
      <c r="K99" s="81" t="n"/>
      <c r="L99" s="113" t="n"/>
      <c r="M99" s="81" t="n"/>
      <c r="N99" s="81" t="n"/>
      <c r="O99" s="81" t="n"/>
      <c r="P99" s="81" t="n"/>
      <c r="Q99" s="113" t="n"/>
      <c r="R99" s="113" t="n"/>
      <c r="S99" s="113" t="n"/>
      <c r="T99" s="81" t="n"/>
      <c r="U99" s="81" t="n"/>
      <c r="V99" s="113" t="n"/>
      <c r="W99" s="81" t="n"/>
      <c r="X99" s="81" t="n"/>
      <c r="Y99" s="81" t="n"/>
      <c r="Z99" s="81" t="n"/>
      <c r="AA99" s="81" t="n"/>
      <c r="AB99" s="81" t="n"/>
      <c r="AC99" s="81" t="n"/>
      <c r="AD99" s="81" t="n"/>
      <c r="AE99" s="81" t="n"/>
      <c r="AF99" s="81" t="n"/>
      <c r="AG99" s="81" t="n"/>
      <c r="AH99" s="113" t="n"/>
      <c r="AI99" s="81" t="n"/>
      <c r="AJ99" s="81" t="n"/>
      <c r="AK99" s="113" t="n"/>
      <c r="AL99" s="81" t="n"/>
      <c r="AM99" s="81" t="n"/>
      <c r="AN99" s="81" t="n"/>
      <c r="AO99" s="113" t="n"/>
      <c r="AP99" s="113" t="n"/>
      <c r="AQ99" s="81" t="n"/>
      <c r="AR99" s="113" t="n"/>
      <c r="AS99" s="113" t="n"/>
      <c r="AT99" s="114" t="n"/>
      <c r="AU99" s="81" t="n"/>
      <c r="AV99" s="114" t="n"/>
      <c r="AW99" s="114" t="n"/>
      <c r="AX99" s="81" t="n"/>
      <c r="AY99" s="113" t="n"/>
      <c r="AZ99" s="115">
        <f>IF($B99="","",COUNTIF(References!$A$4:$A$503,$A99))</f>
        <v/>
      </c>
      <c r="BA99" s="115">
        <f>IF($B99="","",(LEN(A99)=0)+(LEN(B99)=0)+(LEN(D99)=0)+(LEN(G99)=0)+(LEN(H99)=0)+(LEN(I99)=0)+(LEN(J99)=0)+(LEN(L99)=0)+(LEN(M99)=0)+(LEN(O99)=0)+(LEN(R99)=0)+(LEN(X99)=0)+(LEN(AI99)=0)+(LEN(AJ99)=0)+(LEN(AQ99)=0)+(LEN(AR99)=0)+(LEN(AT99)=0)+(LEN(AU99)=0)+(LEN(AV99)=0)+(LEN(AX99)=0))</f>
        <v/>
      </c>
      <c r="BB99" s="115">
        <f>IF($B99="","",IF(AND(BA99=0,AZ99&gt;=1),"Complete","Incomplete"))</f>
        <v/>
      </c>
    </row>
    <row r="100" ht="15" customHeight="1" s="62">
      <c r="A100" s="81" t="n"/>
      <c r="B100" s="113" t="n"/>
      <c r="C100" s="81" t="n"/>
      <c r="D100" s="81" t="n"/>
      <c r="E100" s="81" t="n"/>
      <c r="F100" s="81" t="n"/>
      <c r="G100" s="81" t="n"/>
      <c r="H100" s="81" t="n"/>
      <c r="I100" s="81" t="n"/>
      <c r="J100" s="81" t="n"/>
      <c r="K100" s="81" t="n"/>
      <c r="L100" s="113" t="n"/>
      <c r="M100" s="81" t="n"/>
      <c r="N100" s="81" t="n"/>
      <c r="O100" s="81" t="n"/>
      <c r="P100" s="81" t="n"/>
      <c r="Q100" s="113" t="n"/>
      <c r="R100" s="113" t="n"/>
      <c r="S100" s="113" t="n"/>
      <c r="T100" s="81" t="n"/>
      <c r="U100" s="81" t="n"/>
      <c r="V100" s="113" t="n"/>
      <c r="W100" s="81" t="n"/>
      <c r="X100" s="81" t="n"/>
      <c r="Y100" s="81" t="n"/>
      <c r="Z100" s="81" t="n"/>
      <c r="AA100" s="81" t="n"/>
      <c r="AB100" s="81" t="n"/>
      <c r="AC100" s="81" t="n"/>
      <c r="AD100" s="81" t="n"/>
      <c r="AE100" s="81" t="n"/>
      <c r="AF100" s="81" t="n"/>
      <c r="AG100" s="81" t="n"/>
      <c r="AH100" s="113" t="n"/>
      <c r="AI100" s="81" t="n"/>
      <c r="AJ100" s="81" t="n"/>
      <c r="AK100" s="113" t="n"/>
      <c r="AL100" s="81" t="n"/>
      <c r="AM100" s="81" t="n"/>
      <c r="AN100" s="81" t="n"/>
      <c r="AO100" s="113" t="n"/>
      <c r="AP100" s="113" t="n"/>
      <c r="AQ100" s="81" t="n"/>
      <c r="AR100" s="113" t="n"/>
      <c r="AS100" s="113" t="n"/>
      <c r="AT100" s="114" t="n"/>
      <c r="AU100" s="81" t="n"/>
      <c r="AV100" s="114" t="n"/>
      <c r="AW100" s="114" t="n"/>
      <c r="AX100" s="81" t="n"/>
      <c r="AY100" s="113" t="n"/>
      <c r="AZ100" s="115">
        <f>IF($B100="","",COUNTIF(References!$A$4:$A$503,$A100))</f>
        <v/>
      </c>
      <c r="BA100" s="115">
        <f>IF($B100="","",(LEN(A100)=0)+(LEN(B100)=0)+(LEN(D100)=0)+(LEN(G100)=0)+(LEN(H100)=0)+(LEN(I100)=0)+(LEN(J100)=0)+(LEN(L100)=0)+(LEN(M100)=0)+(LEN(O100)=0)+(LEN(R100)=0)+(LEN(X100)=0)+(LEN(AI100)=0)+(LEN(AJ100)=0)+(LEN(AQ100)=0)+(LEN(AR100)=0)+(LEN(AT100)=0)+(LEN(AU100)=0)+(LEN(AV100)=0)+(LEN(AX100)=0))</f>
        <v/>
      </c>
      <c r="BB100" s="115">
        <f>IF($B100="","",IF(AND(BA100=0,AZ100&gt;=1),"Complete","Incomplete"))</f>
        <v/>
      </c>
    </row>
    <row r="101" ht="15" customHeight="1" s="62">
      <c r="A101" s="81" t="n"/>
      <c r="B101" s="113" t="n"/>
      <c r="C101" s="81" t="n"/>
      <c r="D101" s="81" t="n"/>
      <c r="E101" s="81" t="n"/>
      <c r="F101" s="81" t="n"/>
      <c r="G101" s="81" t="n"/>
      <c r="H101" s="81" t="n"/>
      <c r="I101" s="81" t="n"/>
      <c r="J101" s="81" t="n"/>
      <c r="K101" s="81" t="n"/>
      <c r="L101" s="113" t="n"/>
      <c r="M101" s="81" t="n"/>
      <c r="N101" s="81" t="n"/>
      <c r="O101" s="81" t="n"/>
      <c r="P101" s="81" t="n"/>
      <c r="Q101" s="113" t="n"/>
      <c r="R101" s="113" t="n"/>
      <c r="S101" s="113" t="n"/>
      <c r="T101" s="81" t="n"/>
      <c r="U101" s="81" t="n"/>
      <c r="V101" s="113" t="n"/>
      <c r="W101" s="81" t="n"/>
      <c r="X101" s="81" t="n"/>
      <c r="Y101" s="81" t="n"/>
      <c r="Z101" s="81" t="n"/>
      <c r="AA101" s="81" t="n"/>
      <c r="AB101" s="81" t="n"/>
      <c r="AC101" s="81" t="n"/>
      <c r="AD101" s="81" t="n"/>
      <c r="AE101" s="81" t="n"/>
      <c r="AF101" s="81" t="n"/>
      <c r="AG101" s="81" t="n"/>
      <c r="AH101" s="113" t="n"/>
      <c r="AI101" s="81" t="n"/>
      <c r="AJ101" s="81" t="n"/>
      <c r="AK101" s="113" t="n"/>
      <c r="AL101" s="81" t="n"/>
      <c r="AM101" s="81" t="n"/>
      <c r="AN101" s="81" t="n"/>
      <c r="AO101" s="113" t="n"/>
      <c r="AP101" s="113" t="n"/>
      <c r="AQ101" s="81" t="n"/>
      <c r="AR101" s="113" t="n"/>
      <c r="AS101" s="113" t="n"/>
      <c r="AT101" s="114" t="n"/>
      <c r="AU101" s="81" t="n"/>
      <c r="AV101" s="114" t="n"/>
      <c r="AW101" s="114" t="n"/>
      <c r="AX101" s="81" t="n"/>
      <c r="AY101" s="113" t="n"/>
      <c r="AZ101" s="115">
        <f>IF($B101="","",COUNTIF(References!$A$4:$A$503,$A101))</f>
        <v/>
      </c>
      <c r="BA101" s="115">
        <f>IF($B101="","",(LEN(A101)=0)+(LEN(B101)=0)+(LEN(D101)=0)+(LEN(G101)=0)+(LEN(H101)=0)+(LEN(I101)=0)+(LEN(J101)=0)+(LEN(L101)=0)+(LEN(M101)=0)+(LEN(O101)=0)+(LEN(R101)=0)+(LEN(X101)=0)+(LEN(AI101)=0)+(LEN(AJ101)=0)+(LEN(AQ101)=0)+(LEN(AR101)=0)+(LEN(AT101)=0)+(LEN(AU101)=0)+(LEN(AV101)=0)+(LEN(AX101)=0))</f>
        <v/>
      </c>
      <c r="BB101" s="115">
        <f>IF($B101="","",IF(AND(BA101=0,AZ101&gt;=1),"Complete","Incomplete"))</f>
        <v/>
      </c>
    </row>
    <row r="102" ht="15" customHeight="1" s="62">
      <c r="A102" s="81" t="n"/>
      <c r="B102" s="113" t="n"/>
      <c r="C102" s="81" t="n"/>
      <c r="D102" s="81" t="n"/>
      <c r="E102" s="81" t="n"/>
      <c r="F102" s="81" t="n"/>
      <c r="G102" s="81" t="n"/>
      <c r="H102" s="81" t="n"/>
      <c r="I102" s="81" t="n"/>
      <c r="J102" s="81" t="n"/>
      <c r="K102" s="81" t="n"/>
      <c r="L102" s="113" t="n"/>
      <c r="M102" s="81" t="n"/>
      <c r="N102" s="81" t="n"/>
      <c r="O102" s="81" t="n"/>
      <c r="P102" s="81" t="n"/>
      <c r="Q102" s="113" t="n"/>
      <c r="R102" s="113" t="n"/>
      <c r="S102" s="113" t="n"/>
      <c r="T102" s="81" t="n"/>
      <c r="U102" s="81" t="n"/>
      <c r="V102" s="113" t="n"/>
      <c r="W102" s="81" t="n"/>
      <c r="X102" s="81" t="n"/>
      <c r="Y102" s="81" t="n"/>
      <c r="Z102" s="81" t="n"/>
      <c r="AA102" s="81" t="n"/>
      <c r="AB102" s="81" t="n"/>
      <c r="AC102" s="81" t="n"/>
      <c r="AD102" s="81" t="n"/>
      <c r="AE102" s="81" t="n"/>
      <c r="AF102" s="81" t="n"/>
      <c r="AG102" s="81" t="n"/>
      <c r="AH102" s="113" t="n"/>
      <c r="AI102" s="81" t="n"/>
      <c r="AJ102" s="81" t="n"/>
      <c r="AK102" s="113" t="n"/>
      <c r="AL102" s="81" t="n"/>
      <c r="AM102" s="81" t="n"/>
      <c r="AN102" s="81" t="n"/>
      <c r="AO102" s="113" t="n"/>
      <c r="AP102" s="113" t="n"/>
      <c r="AQ102" s="81" t="n"/>
      <c r="AR102" s="113" t="n"/>
      <c r="AS102" s="113" t="n"/>
      <c r="AT102" s="114" t="n"/>
      <c r="AU102" s="81" t="n"/>
      <c r="AV102" s="114" t="n"/>
      <c r="AW102" s="114" t="n"/>
      <c r="AX102" s="81" t="n"/>
      <c r="AY102" s="113" t="n"/>
      <c r="AZ102" s="115">
        <f>IF($B102="","",COUNTIF(References!$A$4:$A$503,$A102))</f>
        <v/>
      </c>
      <c r="BA102" s="115">
        <f>IF($B102="","",(LEN(A102)=0)+(LEN(B102)=0)+(LEN(D102)=0)+(LEN(G102)=0)+(LEN(H102)=0)+(LEN(I102)=0)+(LEN(J102)=0)+(LEN(L102)=0)+(LEN(M102)=0)+(LEN(O102)=0)+(LEN(R102)=0)+(LEN(X102)=0)+(LEN(AI102)=0)+(LEN(AJ102)=0)+(LEN(AQ102)=0)+(LEN(AR102)=0)+(LEN(AT102)=0)+(LEN(AU102)=0)+(LEN(AV102)=0)+(LEN(AX102)=0))</f>
        <v/>
      </c>
      <c r="BB102" s="115">
        <f>IF($B102="","",IF(AND(BA102=0,AZ102&gt;=1),"Complete","Incomplete"))</f>
        <v/>
      </c>
    </row>
    <row r="103" ht="15" customHeight="1" s="62">
      <c r="A103" s="81" t="n"/>
      <c r="B103" s="113" t="n"/>
      <c r="C103" s="81" t="n"/>
      <c r="D103" s="81" t="n"/>
      <c r="E103" s="81" t="n"/>
      <c r="F103" s="81" t="n"/>
      <c r="G103" s="81" t="n"/>
      <c r="H103" s="81" t="n"/>
      <c r="I103" s="81" t="n"/>
      <c r="J103" s="81" t="n"/>
      <c r="K103" s="81" t="n"/>
      <c r="L103" s="113" t="n"/>
      <c r="M103" s="81" t="n"/>
      <c r="N103" s="81" t="n"/>
      <c r="O103" s="81" t="n"/>
      <c r="P103" s="81" t="n"/>
      <c r="Q103" s="113" t="n"/>
      <c r="R103" s="113" t="n"/>
      <c r="S103" s="113" t="n"/>
      <c r="T103" s="81" t="n"/>
      <c r="U103" s="81" t="n"/>
      <c r="V103" s="113" t="n"/>
      <c r="W103" s="81" t="n"/>
      <c r="X103" s="81" t="n"/>
      <c r="Y103" s="81" t="n"/>
      <c r="Z103" s="81" t="n"/>
      <c r="AA103" s="81" t="n"/>
      <c r="AB103" s="81" t="n"/>
      <c r="AC103" s="81" t="n"/>
      <c r="AD103" s="81" t="n"/>
      <c r="AE103" s="81" t="n"/>
      <c r="AF103" s="81" t="n"/>
      <c r="AG103" s="81" t="n"/>
      <c r="AH103" s="113" t="n"/>
      <c r="AI103" s="81" t="n"/>
      <c r="AJ103" s="81" t="n"/>
      <c r="AK103" s="113" t="n"/>
      <c r="AL103" s="81" t="n"/>
      <c r="AM103" s="81" t="n"/>
      <c r="AN103" s="81" t="n"/>
      <c r="AO103" s="113" t="n"/>
      <c r="AP103" s="113" t="n"/>
      <c r="AQ103" s="81" t="n"/>
      <c r="AR103" s="113" t="n"/>
      <c r="AS103" s="113" t="n"/>
      <c r="AT103" s="114" t="n"/>
      <c r="AU103" s="81" t="n"/>
      <c r="AV103" s="114" t="n"/>
      <c r="AW103" s="114" t="n"/>
      <c r="AX103" s="81" t="n"/>
      <c r="AY103" s="113" t="n"/>
      <c r="AZ103" s="115">
        <f>IF($B103="","",COUNTIF(References!$A$4:$A$503,$A103))</f>
        <v/>
      </c>
      <c r="BA103" s="115">
        <f>IF($B103="","",(LEN(A103)=0)+(LEN(B103)=0)+(LEN(D103)=0)+(LEN(G103)=0)+(LEN(H103)=0)+(LEN(I103)=0)+(LEN(J103)=0)+(LEN(L103)=0)+(LEN(M103)=0)+(LEN(O103)=0)+(LEN(R103)=0)+(LEN(X103)=0)+(LEN(AI103)=0)+(LEN(AJ103)=0)+(LEN(AQ103)=0)+(LEN(AR103)=0)+(LEN(AT103)=0)+(LEN(AU103)=0)+(LEN(AV103)=0)+(LEN(AX103)=0))</f>
        <v/>
      </c>
      <c r="BB103" s="115">
        <f>IF($B103="","",IF(AND(BA103=0,AZ103&gt;=1),"Complete","Incomplete"))</f>
        <v/>
      </c>
    </row>
    <row r="104" ht="15" customHeight="1" s="62">
      <c r="A104" s="81" t="n"/>
      <c r="B104" s="113" t="n"/>
      <c r="C104" s="81" t="n"/>
      <c r="D104" s="81" t="n"/>
      <c r="E104" s="81" t="n"/>
      <c r="F104" s="81" t="n"/>
      <c r="G104" s="81" t="n"/>
      <c r="H104" s="81" t="n"/>
      <c r="I104" s="81" t="n"/>
      <c r="J104" s="81" t="n"/>
      <c r="K104" s="81" t="n"/>
      <c r="L104" s="113" t="n"/>
      <c r="M104" s="81" t="n"/>
      <c r="N104" s="81" t="n"/>
      <c r="O104" s="81" t="n"/>
      <c r="P104" s="81" t="n"/>
      <c r="Q104" s="113" t="n"/>
      <c r="R104" s="113" t="n"/>
      <c r="S104" s="113" t="n"/>
      <c r="T104" s="81" t="n"/>
      <c r="U104" s="81" t="n"/>
      <c r="V104" s="113" t="n"/>
      <c r="W104" s="81" t="n"/>
      <c r="X104" s="81" t="n"/>
      <c r="Y104" s="81" t="n"/>
      <c r="Z104" s="81" t="n"/>
      <c r="AA104" s="81" t="n"/>
      <c r="AB104" s="81" t="n"/>
      <c r="AC104" s="81" t="n"/>
      <c r="AD104" s="81" t="n"/>
      <c r="AE104" s="81" t="n"/>
      <c r="AF104" s="81" t="n"/>
      <c r="AG104" s="81" t="n"/>
      <c r="AH104" s="113" t="n"/>
      <c r="AI104" s="81" t="n"/>
      <c r="AJ104" s="81" t="n"/>
      <c r="AK104" s="113" t="n"/>
      <c r="AL104" s="81" t="n"/>
      <c r="AM104" s="81" t="n"/>
      <c r="AN104" s="81" t="n"/>
      <c r="AO104" s="113" t="n"/>
      <c r="AP104" s="113" t="n"/>
      <c r="AQ104" s="81" t="n"/>
      <c r="AR104" s="113" t="n"/>
      <c r="AS104" s="113" t="n"/>
      <c r="AT104" s="114" t="n"/>
      <c r="AU104" s="81" t="n"/>
      <c r="AV104" s="114" t="n"/>
      <c r="AW104" s="114" t="n"/>
      <c r="AX104" s="81" t="n"/>
      <c r="AY104" s="113" t="n"/>
      <c r="AZ104" s="115">
        <f>IF($B104="","",COUNTIF(References!$A$4:$A$503,$A104))</f>
        <v/>
      </c>
      <c r="BA104" s="115">
        <f>IF($B104="","",(LEN(A104)=0)+(LEN(B104)=0)+(LEN(D104)=0)+(LEN(G104)=0)+(LEN(H104)=0)+(LEN(I104)=0)+(LEN(J104)=0)+(LEN(L104)=0)+(LEN(M104)=0)+(LEN(O104)=0)+(LEN(R104)=0)+(LEN(X104)=0)+(LEN(AI104)=0)+(LEN(AJ104)=0)+(LEN(AQ104)=0)+(LEN(AR104)=0)+(LEN(AT104)=0)+(LEN(AU104)=0)+(LEN(AV104)=0)+(LEN(AX104)=0))</f>
        <v/>
      </c>
      <c r="BB104" s="115">
        <f>IF($B104="","",IF(AND(BA104=0,AZ104&gt;=1),"Complete","Incomplete"))</f>
        <v/>
      </c>
    </row>
    <row r="105" ht="15" customHeight="1" s="62">
      <c r="A105" s="81" t="n"/>
      <c r="B105" s="113" t="n"/>
      <c r="C105" s="81" t="n"/>
      <c r="D105" s="81" t="n"/>
      <c r="E105" s="81" t="n"/>
      <c r="F105" s="81" t="n"/>
      <c r="G105" s="81" t="n"/>
      <c r="H105" s="81" t="n"/>
      <c r="I105" s="81" t="n"/>
      <c r="J105" s="81" t="n"/>
      <c r="K105" s="81" t="n"/>
      <c r="L105" s="113" t="n"/>
      <c r="M105" s="81" t="n"/>
      <c r="N105" s="81" t="n"/>
      <c r="O105" s="81" t="n"/>
      <c r="P105" s="81" t="n"/>
      <c r="Q105" s="113" t="n"/>
      <c r="R105" s="113" t="n"/>
      <c r="S105" s="113" t="n"/>
      <c r="T105" s="81" t="n"/>
      <c r="U105" s="81" t="n"/>
      <c r="V105" s="113" t="n"/>
      <c r="W105" s="81" t="n"/>
      <c r="X105" s="81" t="n"/>
      <c r="Y105" s="81" t="n"/>
      <c r="Z105" s="81" t="n"/>
      <c r="AA105" s="81" t="n"/>
      <c r="AB105" s="81" t="n"/>
      <c r="AC105" s="81" t="n"/>
      <c r="AD105" s="81" t="n"/>
      <c r="AE105" s="81" t="n"/>
      <c r="AF105" s="81" t="n"/>
      <c r="AG105" s="81" t="n"/>
      <c r="AH105" s="113" t="n"/>
      <c r="AI105" s="81" t="n"/>
      <c r="AJ105" s="81" t="n"/>
      <c r="AK105" s="113" t="n"/>
      <c r="AL105" s="81" t="n"/>
      <c r="AM105" s="81" t="n"/>
      <c r="AN105" s="81" t="n"/>
      <c r="AO105" s="113" t="n"/>
      <c r="AP105" s="113" t="n"/>
      <c r="AQ105" s="81" t="n"/>
      <c r="AR105" s="113" t="n"/>
      <c r="AS105" s="113" t="n"/>
      <c r="AT105" s="114" t="n"/>
      <c r="AU105" s="81" t="n"/>
      <c r="AV105" s="114" t="n"/>
      <c r="AW105" s="114" t="n"/>
      <c r="AX105" s="81" t="n"/>
      <c r="AY105" s="113" t="n"/>
      <c r="AZ105" s="115">
        <f>IF($B105="","",COUNTIF(References!$A$4:$A$503,$A105))</f>
        <v/>
      </c>
      <c r="BA105" s="115">
        <f>IF($B105="","",(LEN(A105)=0)+(LEN(B105)=0)+(LEN(D105)=0)+(LEN(G105)=0)+(LEN(H105)=0)+(LEN(I105)=0)+(LEN(J105)=0)+(LEN(L105)=0)+(LEN(M105)=0)+(LEN(O105)=0)+(LEN(R105)=0)+(LEN(X105)=0)+(LEN(AI105)=0)+(LEN(AJ105)=0)+(LEN(AQ105)=0)+(LEN(AR105)=0)+(LEN(AT105)=0)+(LEN(AU105)=0)+(LEN(AV105)=0)+(LEN(AX105)=0))</f>
        <v/>
      </c>
      <c r="BB105" s="115">
        <f>IF($B105="","",IF(AND(BA105=0,AZ105&gt;=1),"Complete","Incomplete"))</f>
        <v/>
      </c>
    </row>
    <row r="106" ht="15" customHeight="1" s="62">
      <c r="A106" s="81" t="n"/>
      <c r="B106" s="113" t="n"/>
      <c r="C106" s="81" t="n"/>
      <c r="D106" s="81" t="n"/>
      <c r="E106" s="81" t="n"/>
      <c r="F106" s="81" t="n"/>
      <c r="G106" s="81" t="n"/>
      <c r="H106" s="81" t="n"/>
      <c r="I106" s="81" t="n"/>
      <c r="J106" s="81" t="n"/>
      <c r="K106" s="81" t="n"/>
      <c r="L106" s="113" t="n"/>
      <c r="M106" s="81" t="n"/>
      <c r="N106" s="81" t="n"/>
      <c r="O106" s="81" t="n"/>
      <c r="P106" s="81" t="n"/>
      <c r="Q106" s="113" t="n"/>
      <c r="R106" s="113" t="n"/>
      <c r="S106" s="113" t="n"/>
      <c r="T106" s="81" t="n"/>
      <c r="U106" s="81" t="n"/>
      <c r="V106" s="113" t="n"/>
      <c r="W106" s="81" t="n"/>
      <c r="X106" s="81" t="n"/>
      <c r="Y106" s="81" t="n"/>
      <c r="Z106" s="81" t="n"/>
      <c r="AA106" s="81" t="n"/>
      <c r="AB106" s="81" t="n"/>
      <c r="AC106" s="81" t="n"/>
      <c r="AD106" s="81" t="n"/>
      <c r="AE106" s="81" t="n"/>
      <c r="AF106" s="81" t="n"/>
      <c r="AG106" s="81" t="n"/>
      <c r="AH106" s="113" t="n"/>
      <c r="AI106" s="81" t="n"/>
      <c r="AJ106" s="81" t="n"/>
      <c r="AK106" s="113" t="n"/>
      <c r="AL106" s="81" t="n"/>
      <c r="AM106" s="81" t="n"/>
      <c r="AN106" s="81" t="n"/>
      <c r="AO106" s="113" t="n"/>
      <c r="AP106" s="113" t="n"/>
      <c r="AQ106" s="81" t="n"/>
      <c r="AR106" s="113" t="n"/>
      <c r="AS106" s="113" t="n"/>
      <c r="AT106" s="114" t="n"/>
      <c r="AU106" s="81" t="n"/>
      <c r="AV106" s="114" t="n"/>
      <c r="AW106" s="114" t="n"/>
      <c r="AX106" s="81" t="n"/>
      <c r="AY106" s="113" t="n"/>
      <c r="AZ106" s="115">
        <f>IF($B106="","",COUNTIF(References!$A$4:$A$503,$A106))</f>
        <v/>
      </c>
      <c r="BA106" s="115">
        <f>IF($B106="","",(LEN(A106)=0)+(LEN(B106)=0)+(LEN(D106)=0)+(LEN(G106)=0)+(LEN(H106)=0)+(LEN(I106)=0)+(LEN(J106)=0)+(LEN(L106)=0)+(LEN(M106)=0)+(LEN(O106)=0)+(LEN(R106)=0)+(LEN(X106)=0)+(LEN(AI106)=0)+(LEN(AJ106)=0)+(LEN(AQ106)=0)+(LEN(AR106)=0)+(LEN(AT106)=0)+(LEN(AU106)=0)+(LEN(AV106)=0)+(LEN(AX106)=0))</f>
        <v/>
      </c>
      <c r="BB106" s="115">
        <f>IF($B106="","",IF(AND(BA106=0,AZ106&gt;=1),"Complete","Incomplete"))</f>
        <v/>
      </c>
    </row>
    <row r="107" ht="15" customHeight="1" s="62">
      <c r="A107" s="81" t="n"/>
      <c r="B107" s="113" t="n"/>
      <c r="C107" s="81" t="n"/>
      <c r="D107" s="81" t="n"/>
      <c r="E107" s="81" t="n"/>
      <c r="F107" s="81" t="n"/>
      <c r="G107" s="81" t="n"/>
      <c r="H107" s="81" t="n"/>
      <c r="I107" s="81" t="n"/>
      <c r="J107" s="81" t="n"/>
      <c r="K107" s="81" t="n"/>
      <c r="L107" s="113" t="n"/>
      <c r="M107" s="81" t="n"/>
      <c r="N107" s="81" t="n"/>
      <c r="O107" s="81" t="n"/>
      <c r="P107" s="81" t="n"/>
      <c r="Q107" s="113" t="n"/>
      <c r="R107" s="113" t="n"/>
      <c r="S107" s="113" t="n"/>
      <c r="T107" s="81" t="n"/>
      <c r="U107" s="81" t="n"/>
      <c r="V107" s="113" t="n"/>
      <c r="W107" s="81" t="n"/>
      <c r="X107" s="81" t="n"/>
      <c r="Y107" s="81" t="n"/>
      <c r="Z107" s="81" t="n"/>
      <c r="AA107" s="81" t="n"/>
      <c r="AB107" s="81" t="n"/>
      <c r="AC107" s="81" t="n"/>
      <c r="AD107" s="81" t="n"/>
      <c r="AE107" s="81" t="n"/>
      <c r="AF107" s="81" t="n"/>
      <c r="AG107" s="81" t="n"/>
      <c r="AH107" s="113" t="n"/>
      <c r="AI107" s="81" t="n"/>
      <c r="AJ107" s="81" t="n"/>
      <c r="AK107" s="113" t="n"/>
      <c r="AL107" s="81" t="n"/>
      <c r="AM107" s="81" t="n"/>
      <c r="AN107" s="81" t="n"/>
      <c r="AO107" s="113" t="n"/>
      <c r="AP107" s="113" t="n"/>
      <c r="AQ107" s="81" t="n"/>
      <c r="AR107" s="113" t="n"/>
      <c r="AS107" s="113" t="n"/>
      <c r="AT107" s="114" t="n"/>
      <c r="AU107" s="81" t="n"/>
      <c r="AV107" s="114" t="n"/>
      <c r="AW107" s="114" t="n"/>
      <c r="AX107" s="81" t="n"/>
      <c r="AY107" s="113" t="n"/>
      <c r="AZ107" s="115">
        <f>IF($B107="","",COUNTIF(References!$A$4:$A$503,$A107))</f>
        <v/>
      </c>
      <c r="BA107" s="115">
        <f>IF($B107="","",(LEN(A107)=0)+(LEN(B107)=0)+(LEN(D107)=0)+(LEN(G107)=0)+(LEN(H107)=0)+(LEN(I107)=0)+(LEN(J107)=0)+(LEN(L107)=0)+(LEN(M107)=0)+(LEN(O107)=0)+(LEN(R107)=0)+(LEN(X107)=0)+(LEN(AI107)=0)+(LEN(AJ107)=0)+(LEN(AQ107)=0)+(LEN(AR107)=0)+(LEN(AT107)=0)+(LEN(AU107)=0)+(LEN(AV107)=0)+(LEN(AX107)=0))</f>
        <v/>
      </c>
      <c r="BB107" s="115">
        <f>IF($B107="","",IF(AND(BA107=0,AZ107&gt;=1),"Complete","Incomplete"))</f>
        <v/>
      </c>
    </row>
    <row r="108" ht="15" customHeight="1" s="62">
      <c r="A108" s="81" t="n"/>
      <c r="B108" s="113" t="n"/>
      <c r="C108" s="81" t="n"/>
      <c r="D108" s="81" t="n"/>
      <c r="E108" s="81" t="n"/>
      <c r="F108" s="81" t="n"/>
      <c r="G108" s="81" t="n"/>
      <c r="H108" s="81" t="n"/>
      <c r="I108" s="81" t="n"/>
      <c r="J108" s="81" t="n"/>
      <c r="K108" s="81" t="n"/>
      <c r="L108" s="113" t="n"/>
      <c r="M108" s="81" t="n"/>
      <c r="N108" s="81" t="n"/>
      <c r="O108" s="81" t="n"/>
      <c r="P108" s="81" t="n"/>
      <c r="Q108" s="113" t="n"/>
      <c r="R108" s="113" t="n"/>
      <c r="S108" s="113" t="n"/>
      <c r="T108" s="81" t="n"/>
      <c r="U108" s="81" t="n"/>
      <c r="V108" s="113" t="n"/>
      <c r="W108" s="81" t="n"/>
      <c r="X108" s="81" t="n"/>
      <c r="Y108" s="81" t="n"/>
      <c r="Z108" s="81" t="n"/>
      <c r="AA108" s="81" t="n"/>
      <c r="AB108" s="81" t="n"/>
      <c r="AC108" s="81" t="n"/>
      <c r="AD108" s="81" t="n"/>
      <c r="AE108" s="81" t="n"/>
      <c r="AF108" s="81" t="n"/>
      <c r="AG108" s="81" t="n"/>
      <c r="AH108" s="113" t="n"/>
      <c r="AI108" s="81" t="n"/>
      <c r="AJ108" s="81" t="n"/>
      <c r="AK108" s="113" t="n"/>
      <c r="AL108" s="81" t="n"/>
      <c r="AM108" s="81" t="n"/>
      <c r="AN108" s="81" t="n"/>
      <c r="AO108" s="113" t="n"/>
      <c r="AP108" s="113" t="n"/>
      <c r="AQ108" s="81" t="n"/>
      <c r="AR108" s="113" t="n"/>
      <c r="AS108" s="113" t="n"/>
      <c r="AT108" s="114" t="n"/>
      <c r="AU108" s="81" t="n"/>
      <c r="AV108" s="114" t="n"/>
      <c r="AW108" s="114" t="n"/>
      <c r="AX108" s="81" t="n"/>
      <c r="AY108" s="113" t="n"/>
      <c r="AZ108" s="115">
        <f>IF($B108="","",COUNTIF(References!$A$4:$A$503,$A108))</f>
        <v/>
      </c>
      <c r="BA108" s="115">
        <f>IF($B108="","",(LEN(A108)=0)+(LEN(B108)=0)+(LEN(D108)=0)+(LEN(G108)=0)+(LEN(H108)=0)+(LEN(I108)=0)+(LEN(J108)=0)+(LEN(L108)=0)+(LEN(M108)=0)+(LEN(O108)=0)+(LEN(R108)=0)+(LEN(X108)=0)+(LEN(AI108)=0)+(LEN(AJ108)=0)+(LEN(AQ108)=0)+(LEN(AR108)=0)+(LEN(AT108)=0)+(LEN(AU108)=0)+(LEN(AV108)=0)+(LEN(AX108)=0))</f>
        <v/>
      </c>
      <c r="BB108" s="115">
        <f>IF($B108="","",IF(AND(BA108=0,AZ108&gt;=1),"Complete","Incomplete"))</f>
        <v/>
      </c>
    </row>
    <row r="109" ht="15" customHeight="1" s="62">
      <c r="A109" s="81" t="n"/>
      <c r="B109" s="113" t="n"/>
      <c r="C109" s="81" t="n"/>
      <c r="D109" s="81" t="n"/>
      <c r="E109" s="81" t="n"/>
      <c r="F109" s="81" t="n"/>
      <c r="G109" s="81" t="n"/>
      <c r="H109" s="81" t="n"/>
      <c r="I109" s="81" t="n"/>
      <c r="J109" s="81" t="n"/>
      <c r="K109" s="81" t="n"/>
      <c r="L109" s="113" t="n"/>
      <c r="M109" s="81" t="n"/>
      <c r="N109" s="81" t="n"/>
      <c r="O109" s="81" t="n"/>
      <c r="P109" s="81" t="n"/>
      <c r="Q109" s="113" t="n"/>
      <c r="R109" s="113" t="n"/>
      <c r="S109" s="113" t="n"/>
      <c r="T109" s="81" t="n"/>
      <c r="U109" s="81" t="n"/>
      <c r="V109" s="113" t="n"/>
      <c r="W109" s="81" t="n"/>
      <c r="X109" s="81" t="n"/>
      <c r="Y109" s="81" t="n"/>
      <c r="Z109" s="81" t="n"/>
      <c r="AA109" s="81" t="n"/>
      <c r="AB109" s="81" t="n"/>
      <c r="AC109" s="81" t="n"/>
      <c r="AD109" s="81" t="n"/>
      <c r="AE109" s="81" t="n"/>
      <c r="AF109" s="81" t="n"/>
      <c r="AG109" s="81" t="n"/>
      <c r="AH109" s="113" t="n"/>
      <c r="AI109" s="81" t="n"/>
      <c r="AJ109" s="81" t="n"/>
      <c r="AK109" s="113" t="n"/>
      <c r="AL109" s="81" t="n"/>
      <c r="AM109" s="81" t="n"/>
      <c r="AN109" s="81" t="n"/>
      <c r="AO109" s="113" t="n"/>
      <c r="AP109" s="113" t="n"/>
      <c r="AQ109" s="81" t="n"/>
      <c r="AR109" s="113" t="n"/>
      <c r="AS109" s="113" t="n"/>
      <c r="AT109" s="114" t="n"/>
      <c r="AU109" s="81" t="n"/>
      <c r="AV109" s="114" t="n"/>
      <c r="AW109" s="114" t="n"/>
      <c r="AX109" s="81" t="n"/>
      <c r="AY109" s="113" t="n"/>
      <c r="AZ109" s="115">
        <f>IF($B109="","",COUNTIF(References!$A$4:$A$503,$A109))</f>
        <v/>
      </c>
      <c r="BA109" s="115">
        <f>IF($B109="","",(LEN(A109)=0)+(LEN(B109)=0)+(LEN(D109)=0)+(LEN(G109)=0)+(LEN(H109)=0)+(LEN(I109)=0)+(LEN(J109)=0)+(LEN(L109)=0)+(LEN(M109)=0)+(LEN(O109)=0)+(LEN(R109)=0)+(LEN(X109)=0)+(LEN(AI109)=0)+(LEN(AJ109)=0)+(LEN(AQ109)=0)+(LEN(AR109)=0)+(LEN(AT109)=0)+(LEN(AU109)=0)+(LEN(AV109)=0)+(LEN(AX109)=0))</f>
        <v/>
      </c>
      <c r="BB109" s="115">
        <f>IF($B109="","",IF(AND(BA109=0,AZ109&gt;=1),"Complete","Incomplete"))</f>
        <v/>
      </c>
    </row>
    <row r="110" ht="15" customHeight="1" s="62">
      <c r="A110" s="81" t="n"/>
      <c r="B110" s="113" t="n"/>
      <c r="C110" s="81" t="n"/>
      <c r="D110" s="81" t="n"/>
      <c r="E110" s="81" t="n"/>
      <c r="F110" s="81" t="n"/>
      <c r="G110" s="81" t="n"/>
      <c r="H110" s="81" t="n"/>
      <c r="I110" s="81" t="n"/>
      <c r="J110" s="81" t="n"/>
      <c r="K110" s="81" t="n"/>
      <c r="L110" s="113" t="n"/>
      <c r="M110" s="81" t="n"/>
      <c r="N110" s="81" t="n"/>
      <c r="O110" s="81" t="n"/>
      <c r="P110" s="81" t="n"/>
      <c r="Q110" s="113" t="n"/>
      <c r="R110" s="113" t="n"/>
      <c r="S110" s="113" t="n"/>
      <c r="T110" s="81" t="n"/>
      <c r="U110" s="81" t="n"/>
      <c r="V110" s="113" t="n"/>
      <c r="W110" s="81" t="n"/>
      <c r="X110" s="81" t="n"/>
      <c r="Y110" s="81" t="n"/>
      <c r="Z110" s="81" t="n"/>
      <c r="AA110" s="81" t="n"/>
      <c r="AB110" s="81" t="n"/>
      <c r="AC110" s="81" t="n"/>
      <c r="AD110" s="81" t="n"/>
      <c r="AE110" s="81" t="n"/>
      <c r="AF110" s="81" t="n"/>
      <c r="AG110" s="81" t="n"/>
      <c r="AH110" s="113" t="n"/>
      <c r="AI110" s="81" t="n"/>
      <c r="AJ110" s="81" t="n"/>
      <c r="AK110" s="113" t="n"/>
      <c r="AL110" s="81" t="n"/>
      <c r="AM110" s="81" t="n"/>
      <c r="AN110" s="81" t="n"/>
      <c r="AO110" s="113" t="n"/>
      <c r="AP110" s="113" t="n"/>
      <c r="AQ110" s="81" t="n"/>
      <c r="AR110" s="113" t="n"/>
      <c r="AS110" s="113" t="n"/>
      <c r="AT110" s="114" t="n"/>
      <c r="AU110" s="81" t="n"/>
      <c r="AV110" s="114" t="n"/>
      <c r="AW110" s="114" t="n"/>
      <c r="AX110" s="81" t="n"/>
      <c r="AY110" s="113" t="n"/>
      <c r="AZ110" s="115">
        <f>IF($B110="","",COUNTIF(References!$A$4:$A$503,$A110))</f>
        <v/>
      </c>
      <c r="BA110" s="115">
        <f>IF($B110="","",(LEN(A110)=0)+(LEN(B110)=0)+(LEN(D110)=0)+(LEN(G110)=0)+(LEN(H110)=0)+(LEN(I110)=0)+(LEN(J110)=0)+(LEN(L110)=0)+(LEN(M110)=0)+(LEN(O110)=0)+(LEN(R110)=0)+(LEN(X110)=0)+(LEN(AI110)=0)+(LEN(AJ110)=0)+(LEN(AQ110)=0)+(LEN(AR110)=0)+(LEN(AT110)=0)+(LEN(AU110)=0)+(LEN(AV110)=0)+(LEN(AX110)=0))</f>
        <v/>
      </c>
      <c r="BB110" s="115">
        <f>IF($B110="","",IF(AND(BA110=0,AZ110&gt;=1),"Complete","Incomplete"))</f>
        <v/>
      </c>
    </row>
    <row r="111" ht="15" customHeight="1" s="62">
      <c r="A111" s="81" t="n"/>
      <c r="B111" s="113" t="n"/>
      <c r="C111" s="81" t="n"/>
      <c r="D111" s="81" t="n"/>
      <c r="E111" s="81" t="n"/>
      <c r="F111" s="81" t="n"/>
      <c r="G111" s="81" t="n"/>
      <c r="H111" s="81" t="n"/>
      <c r="I111" s="81" t="n"/>
      <c r="J111" s="81" t="n"/>
      <c r="K111" s="81" t="n"/>
      <c r="L111" s="113" t="n"/>
      <c r="M111" s="81" t="n"/>
      <c r="N111" s="81" t="n"/>
      <c r="O111" s="81" t="n"/>
      <c r="P111" s="81" t="n"/>
      <c r="Q111" s="113" t="n"/>
      <c r="R111" s="113" t="n"/>
      <c r="S111" s="113" t="n"/>
      <c r="T111" s="81" t="n"/>
      <c r="U111" s="81" t="n"/>
      <c r="V111" s="113" t="n"/>
      <c r="W111" s="81" t="n"/>
      <c r="X111" s="81" t="n"/>
      <c r="Y111" s="81" t="n"/>
      <c r="Z111" s="81" t="n"/>
      <c r="AA111" s="81" t="n"/>
      <c r="AB111" s="81" t="n"/>
      <c r="AC111" s="81" t="n"/>
      <c r="AD111" s="81" t="n"/>
      <c r="AE111" s="81" t="n"/>
      <c r="AF111" s="81" t="n"/>
      <c r="AG111" s="81" t="n"/>
      <c r="AH111" s="113" t="n"/>
      <c r="AI111" s="81" t="n"/>
      <c r="AJ111" s="81" t="n"/>
      <c r="AK111" s="113" t="n"/>
      <c r="AL111" s="81" t="n"/>
      <c r="AM111" s="81" t="n"/>
      <c r="AN111" s="81" t="n"/>
      <c r="AO111" s="113" t="n"/>
      <c r="AP111" s="113" t="n"/>
      <c r="AQ111" s="81" t="n"/>
      <c r="AR111" s="113" t="n"/>
      <c r="AS111" s="113" t="n"/>
      <c r="AT111" s="114" t="n"/>
      <c r="AU111" s="81" t="n"/>
      <c r="AV111" s="114" t="n"/>
      <c r="AW111" s="114" t="n"/>
      <c r="AX111" s="81" t="n"/>
      <c r="AY111" s="113" t="n"/>
      <c r="AZ111" s="115">
        <f>IF($B111="","",COUNTIF(References!$A$4:$A$503,$A111))</f>
        <v/>
      </c>
      <c r="BA111" s="115">
        <f>IF($B111="","",(LEN(A111)=0)+(LEN(B111)=0)+(LEN(D111)=0)+(LEN(G111)=0)+(LEN(H111)=0)+(LEN(I111)=0)+(LEN(J111)=0)+(LEN(L111)=0)+(LEN(M111)=0)+(LEN(O111)=0)+(LEN(R111)=0)+(LEN(X111)=0)+(LEN(AI111)=0)+(LEN(AJ111)=0)+(LEN(AQ111)=0)+(LEN(AR111)=0)+(LEN(AT111)=0)+(LEN(AU111)=0)+(LEN(AV111)=0)+(LEN(AX111)=0))</f>
        <v/>
      </c>
      <c r="BB111" s="115">
        <f>IF($B111="","",IF(AND(BA111=0,AZ111&gt;=1),"Complete","Incomplete"))</f>
        <v/>
      </c>
    </row>
    <row r="112" ht="15" customHeight="1" s="62">
      <c r="A112" s="81" t="n"/>
      <c r="B112" s="113" t="n"/>
      <c r="C112" s="81" t="n"/>
      <c r="D112" s="81" t="n"/>
      <c r="E112" s="81" t="n"/>
      <c r="F112" s="81" t="n"/>
      <c r="G112" s="81" t="n"/>
      <c r="H112" s="81" t="n"/>
      <c r="I112" s="81" t="n"/>
      <c r="J112" s="81" t="n"/>
      <c r="K112" s="81" t="n"/>
      <c r="L112" s="113" t="n"/>
      <c r="M112" s="81" t="n"/>
      <c r="N112" s="81" t="n"/>
      <c r="O112" s="81" t="n"/>
      <c r="P112" s="81" t="n"/>
      <c r="Q112" s="113" t="n"/>
      <c r="R112" s="113" t="n"/>
      <c r="S112" s="113" t="n"/>
      <c r="T112" s="81" t="n"/>
      <c r="U112" s="81" t="n"/>
      <c r="V112" s="113" t="n"/>
      <c r="W112" s="81" t="n"/>
      <c r="X112" s="81" t="n"/>
      <c r="Y112" s="81" t="n"/>
      <c r="Z112" s="81" t="n"/>
      <c r="AA112" s="81" t="n"/>
      <c r="AB112" s="81" t="n"/>
      <c r="AC112" s="81" t="n"/>
      <c r="AD112" s="81" t="n"/>
      <c r="AE112" s="81" t="n"/>
      <c r="AF112" s="81" t="n"/>
      <c r="AG112" s="81" t="n"/>
      <c r="AH112" s="113" t="n"/>
      <c r="AI112" s="81" t="n"/>
      <c r="AJ112" s="81" t="n"/>
      <c r="AK112" s="113" t="n"/>
      <c r="AL112" s="81" t="n"/>
      <c r="AM112" s="81" t="n"/>
      <c r="AN112" s="81" t="n"/>
      <c r="AO112" s="113" t="n"/>
      <c r="AP112" s="113" t="n"/>
      <c r="AQ112" s="81" t="n"/>
      <c r="AR112" s="113" t="n"/>
      <c r="AS112" s="113" t="n"/>
      <c r="AT112" s="114" t="n"/>
      <c r="AU112" s="81" t="n"/>
      <c r="AV112" s="114" t="n"/>
      <c r="AW112" s="114" t="n"/>
      <c r="AX112" s="81" t="n"/>
      <c r="AY112" s="113" t="n"/>
      <c r="AZ112" s="115">
        <f>IF($B112="","",COUNTIF(References!$A$4:$A$503,$A112))</f>
        <v/>
      </c>
      <c r="BA112" s="115">
        <f>IF($B112="","",(LEN(A112)=0)+(LEN(B112)=0)+(LEN(D112)=0)+(LEN(G112)=0)+(LEN(H112)=0)+(LEN(I112)=0)+(LEN(J112)=0)+(LEN(L112)=0)+(LEN(M112)=0)+(LEN(O112)=0)+(LEN(R112)=0)+(LEN(X112)=0)+(LEN(AI112)=0)+(LEN(AJ112)=0)+(LEN(AQ112)=0)+(LEN(AR112)=0)+(LEN(AT112)=0)+(LEN(AU112)=0)+(LEN(AV112)=0)+(LEN(AX112)=0))</f>
        <v/>
      </c>
      <c r="BB112" s="115">
        <f>IF($B112="","",IF(AND(BA112=0,AZ112&gt;=1),"Complete","Incomplete"))</f>
        <v/>
      </c>
    </row>
    <row r="113" ht="15" customHeight="1" s="62">
      <c r="A113" s="81" t="n"/>
      <c r="B113" s="113" t="n"/>
      <c r="C113" s="81" t="n"/>
      <c r="D113" s="81" t="n"/>
      <c r="E113" s="81" t="n"/>
      <c r="F113" s="81" t="n"/>
      <c r="G113" s="81" t="n"/>
      <c r="H113" s="81" t="n"/>
      <c r="I113" s="81" t="n"/>
      <c r="J113" s="81" t="n"/>
      <c r="K113" s="81" t="n"/>
      <c r="L113" s="113" t="n"/>
      <c r="M113" s="81" t="n"/>
      <c r="N113" s="81" t="n"/>
      <c r="O113" s="81" t="n"/>
      <c r="P113" s="81" t="n"/>
      <c r="Q113" s="113" t="n"/>
      <c r="R113" s="113" t="n"/>
      <c r="S113" s="113" t="n"/>
      <c r="T113" s="81" t="n"/>
      <c r="U113" s="81" t="n"/>
      <c r="V113" s="113" t="n"/>
      <c r="W113" s="81" t="n"/>
      <c r="X113" s="81" t="n"/>
      <c r="Y113" s="81" t="n"/>
      <c r="Z113" s="81" t="n"/>
      <c r="AA113" s="81" t="n"/>
      <c r="AB113" s="81" t="n"/>
      <c r="AC113" s="81" t="n"/>
      <c r="AD113" s="81" t="n"/>
      <c r="AE113" s="81" t="n"/>
      <c r="AF113" s="81" t="n"/>
      <c r="AG113" s="81" t="n"/>
      <c r="AH113" s="113" t="n"/>
      <c r="AI113" s="81" t="n"/>
      <c r="AJ113" s="81" t="n"/>
      <c r="AK113" s="113" t="n"/>
      <c r="AL113" s="81" t="n"/>
      <c r="AM113" s="81" t="n"/>
      <c r="AN113" s="81" t="n"/>
      <c r="AO113" s="113" t="n"/>
      <c r="AP113" s="113" t="n"/>
      <c r="AQ113" s="81" t="n"/>
      <c r="AR113" s="113" t="n"/>
      <c r="AS113" s="113" t="n"/>
      <c r="AT113" s="114" t="n"/>
      <c r="AU113" s="81" t="n"/>
      <c r="AV113" s="114" t="n"/>
      <c r="AW113" s="114" t="n"/>
      <c r="AX113" s="81" t="n"/>
      <c r="AY113" s="113" t="n"/>
      <c r="AZ113" s="115">
        <f>IF($B113="","",COUNTIF(References!$A$4:$A$503,$A113))</f>
        <v/>
      </c>
      <c r="BA113" s="115">
        <f>IF($B113="","",(LEN(A113)=0)+(LEN(B113)=0)+(LEN(D113)=0)+(LEN(G113)=0)+(LEN(H113)=0)+(LEN(I113)=0)+(LEN(J113)=0)+(LEN(L113)=0)+(LEN(M113)=0)+(LEN(O113)=0)+(LEN(R113)=0)+(LEN(X113)=0)+(LEN(AI113)=0)+(LEN(AJ113)=0)+(LEN(AQ113)=0)+(LEN(AR113)=0)+(LEN(AT113)=0)+(LEN(AU113)=0)+(LEN(AV113)=0)+(LEN(AX113)=0))</f>
        <v/>
      </c>
      <c r="BB113" s="115">
        <f>IF($B113="","",IF(AND(BA113=0,AZ113&gt;=1),"Complete","Incomplete"))</f>
        <v/>
      </c>
    </row>
    <row r="114" ht="15" customHeight="1" s="62">
      <c r="A114" s="81" t="n"/>
      <c r="B114" s="113" t="n"/>
      <c r="C114" s="81" t="n"/>
      <c r="D114" s="81" t="n"/>
      <c r="E114" s="81" t="n"/>
      <c r="F114" s="81" t="n"/>
      <c r="G114" s="81" t="n"/>
      <c r="H114" s="81" t="n"/>
      <c r="I114" s="81" t="n"/>
      <c r="J114" s="81" t="n"/>
      <c r="K114" s="81" t="n"/>
      <c r="L114" s="113" t="n"/>
      <c r="M114" s="81" t="n"/>
      <c r="N114" s="81" t="n"/>
      <c r="O114" s="81" t="n"/>
      <c r="P114" s="81" t="n"/>
      <c r="Q114" s="113" t="n"/>
      <c r="R114" s="113" t="n"/>
      <c r="S114" s="113" t="n"/>
      <c r="T114" s="81" t="n"/>
      <c r="U114" s="81" t="n"/>
      <c r="V114" s="113" t="n"/>
      <c r="W114" s="81" t="n"/>
      <c r="X114" s="81" t="n"/>
      <c r="Y114" s="81" t="n"/>
      <c r="Z114" s="81" t="n"/>
      <c r="AA114" s="81" t="n"/>
      <c r="AB114" s="81" t="n"/>
      <c r="AC114" s="81" t="n"/>
      <c r="AD114" s="81" t="n"/>
      <c r="AE114" s="81" t="n"/>
      <c r="AF114" s="81" t="n"/>
      <c r="AG114" s="81" t="n"/>
      <c r="AH114" s="113" t="n"/>
      <c r="AI114" s="81" t="n"/>
      <c r="AJ114" s="81" t="n"/>
      <c r="AK114" s="113" t="n"/>
      <c r="AL114" s="81" t="n"/>
      <c r="AM114" s="81" t="n"/>
      <c r="AN114" s="81" t="n"/>
      <c r="AO114" s="113" t="n"/>
      <c r="AP114" s="113" t="n"/>
      <c r="AQ114" s="81" t="n"/>
      <c r="AR114" s="113" t="n"/>
      <c r="AS114" s="113" t="n"/>
      <c r="AT114" s="114" t="n"/>
      <c r="AU114" s="81" t="n"/>
      <c r="AV114" s="114" t="n"/>
      <c r="AW114" s="114" t="n"/>
      <c r="AX114" s="81" t="n"/>
      <c r="AY114" s="113" t="n"/>
      <c r="AZ114" s="115">
        <f>IF($B114="","",COUNTIF(References!$A$4:$A$503,$A114))</f>
        <v/>
      </c>
      <c r="BA114" s="115">
        <f>IF($B114="","",(LEN(A114)=0)+(LEN(B114)=0)+(LEN(D114)=0)+(LEN(G114)=0)+(LEN(H114)=0)+(LEN(I114)=0)+(LEN(J114)=0)+(LEN(L114)=0)+(LEN(M114)=0)+(LEN(O114)=0)+(LEN(R114)=0)+(LEN(X114)=0)+(LEN(AI114)=0)+(LEN(AJ114)=0)+(LEN(AQ114)=0)+(LEN(AR114)=0)+(LEN(AT114)=0)+(LEN(AU114)=0)+(LEN(AV114)=0)+(LEN(AX114)=0))</f>
        <v/>
      </c>
      <c r="BB114" s="115">
        <f>IF($B114="","",IF(AND(BA114=0,AZ114&gt;=1),"Complete","Incomplete"))</f>
        <v/>
      </c>
    </row>
    <row r="115" ht="15" customHeight="1" s="62">
      <c r="A115" s="81" t="n"/>
      <c r="B115" s="113" t="n"/>
      <c r="C115" s="81" t="n"/>
      <c r="D115" s="81" t="n"/>
      <c r="E115" s="81" t="n"/>
      <c r="F115" s="81" t="n"/>
      <c r="G115" s="81" t="n"/>
      <c r="H115" s="81" t="n"/>
      <c r="I115" s="81" t="n"/>
      <c r="J115" s="81" t="n"/>
      <c r="K115" s="81" t="n"/>
      <c r="L115" s="113" t="n"/>
      <c r="M115" s="81" t="n"/>
      <c r="N115" s="81" t="n"/>
      <c r="O115" s="81" t="n"/>
      <c r="P115" s="81" t="n"/>
      <c r="Q115" s="113" t="n"/>
      <c r="R115" s="113" t="n"/>
      <c r="S115" s="113" t="n"/>
      <c r="T115" s="81" t="n"/>
      <c r="U115" s="81" t="n"/>
      <c r="V115" s="113" t="n"/>
      <c r="W115" s="81" t="n"/>
      <c r="X115" s="81" t="n"/>
      <c r="Y115" s="81" t="n"/>
      <c r="Z115" s="81" t="n"/>
      <c r="AA115" s="81" t="n"/>
      <c r="AB115" s="81" t="n"/>
      <c r="AC115" s="81" t="n"/>
      <c r="AD115" s="81" t="n"/>
      <c r="AE115" s="81" t="n"/>
      <c r="AF115" s="81" t="n"/>
      <c r="AG115" s="81" t="n"/>
      <c r="AH115" s="113" t="n"/>
      <c r="AI115" s="81" t="n"/>
      <c r="AJ115" s="81" t="n"/>
      <c r="AK115" s="113" t="n"/>
      <c r="AL115" s="81" t="n"/>
      <c r="AM115" s="81" t="n"/>
      <c r="AN115" s="81" t="n"/>
      <c r="AO115" s="113" t="n"/>
      <c r="AP115" s="113" t="n"/>
      <c r="AQ115" s="81" t="n"/>
      <c r="AR115" s="113" t="n"/>
      <c r="AS115" s="113" t="n"/>
      <c r="AT115" s="114" t="n"/>
      <c r="AU115" s="81" t="n"/>
      <c r="AV115" s="114" t="n"/>
      <c r="AW115" s="114" t="n"/>
      <c r="AX115" s="81" t="n"/>
      <c r="AY115" s="113" t="n"/>
      <c r="AZ115" s="115">
        <f>IF($B115="","",COUNTIF(References!$A$4:$A$503,$A115))</f>
        <v/>
      </c>
      <c r="BA115" s="115">
        <f>IF($B115="","",(LEN(A115)=0)+(LEN(B115)=0)+(LEN(D115)=0)+(LEN(G115)=0)+(LEN(H115)=0)+(LEN(I115)=0)+(LEN(J115)=0)+(LEN(L115)=0)+(LEN(M115)=0)+(LEN(O115)=0)+(LEN(R115)=0)+(LEN(X115)=0)+(LEN(AI115)=0)+(LEN(AJ115)=0)+(LEN(AQ115)=0)+(LEN(AR115)=0)+(LEN(AT115)=0)+(LEN(AU115)=0)+(LEN(AV115)=0)+(LEN(AX115)=0))</f>
        <v/>
      </c>
      <c r="BB115" s="115">
        <f>IF($B115="","",IF(AND(BA115=0,AZ115&gt;=1),"Complete","Incomplete"))</f>
        <v/>
      </c>
    </row>
    <row r="116" ht="15" customHeight="1" s="62">
      <c r="A116" s="81" t="n"/>
      <c r="B116" s="113" t="n"/>
      <c r="C116" s="81" t="n"/>
      <c r="D116" s="81" t="n"/>
      <c r="E116" s="81" t="n"/>
      <c r="F116" s="81" t="n"/>
      <c r="G116" s="81" t="n"/>
      <c r="H116" s="81" t="n"/>
      <c r="I116" s="81" t="n"/>
      <c r="J116" s="81" t="n"/>
      <c r="K116" s="81" t="n"/>
      <c r="L116" s="113" t="n"/>
      <c r="M116" s="81" t="n"/>
      <c r="N116" s="81" t="n"/>
      <c r="O116" s="81" t="n"/>
      <c r="P116" s="81" t="n"/>
      <c r="Q116" s="113" t="n"/>
      <c r="R116" s="113" t="n"/>
      <c r="S116" s="113" t="n"/>
      <c r="T116" s="81" t="n"/>
      <c r="U116" s="81" t="n"/>
      <c r="V116" s="113" t="n"/>
      <c r="W116" s="81" t="n"/>
      <c r="X116" s="81" t="n"/>
      <c r="Y116" s="81" t="n"/>
      <c r="Z116" s="81" t="n"/>
      <c r="AA116" s="81" t="n"/>
      <c r="AB116" s="81" t="n"/>
      <c r="AC116" s="81" t="n"/>
      <c r="AD116" s="81" t="n"/>
      <c r="AE116" s="81" t="n"/>
      <c r="AF116" s="81" t="n"/>
      <c r="AG116" s="81" t="n"/>
      <c r="AH116" s="113" t="n"/>
      <c r="AI116" s="81" t="n"/>
      <c r="AJ116" s="81" t="n"/>
      <c r="AK116" s="113" t="n"/>
      <c r="AL116" s="81" t="n"/>
      <c r="AM116" s="81" t="n"/>
      <c r="AN116" s="81" t="n"/>
      <c r="AO116" s="113" t="n"/>
      <c r="AP116" s="113" t="n"/>
      <c r="AQ116" s="81" t="n"/>
      <c r="AR116" s="113" t="n"/>
      <c r="AS116" s="113" t="n"/>
      <c r="AT116" s="114" t="n"/>
      <c r="AU116" s="81" t="n"/>
      <c r="AV116" s="114" t="n"/>
      <c r="AW116" s="114" t="n"/>
      <c r="AX116" s="81" t="n"/>
      <c r="AY116" s="113" t="n"/>
      <c r="AZ116" s="115">
        <f>IF($B116="","",COUNTIF(References!$A$4:$A$503,$A116))</f>
        <v/>
      </c>
      <c r="BA116" s="115">
        <f>IF($B116="","",(LEN(A116)=0)+(LEN(B116)=0)+(LEN(D116)=0)+(LEN(G116)=0)+(LEN(H116)=0)+(LEN(I116)=0)+(LEN(J116)=0)+(LEN(L116)=0)+(LEN(M116)=0)+(LEN(O116)=0)+(LEN(R116)=0)+(LEN(X116)=0)+(LEN(AI116)=0)+(LEN(AJ116)=0)+(LEN(AQ116)=0)+(LEN(AR116)=0)+(LEN(AT116)=0)+(LEN(AU116)=0)+(LEN(AV116)=0)+(LEN(AX116)=0))</f>
        <v/>
      </c>
      <c r="BB116" s="115">
        <f>IF($B116="","",IF(AND(BA116=0,AZ116&gt;=1),"Complete","Incomplete"))</f>
        <v/>
      </c>
    </row>
    <row r="117" ht="15" customHeight="1" s="62">
      <c r="A117" s="81" t="n"/>
      <c r="B117" s="113" t="n"/>
      <c r="C117" s="81" t="n"/>
      <c r="D117" s="81" t="n"/>
      <c r="E117" s="81" t="n"/>
      <c r="F117" s="81" t="n"/>
      <c r="G117" s="81" t="n"/>
      <c r="H117" s="81" t="n"/>
      <c r="I117" s="81" t="n"/>
      <c r="J117" s="81" t="n"/>
      <c r="K117" s="81" t="n"/>
      <c r="L117" s="113" t="n"/>
      <c r="M117" s="81" t="n"/>
      <c r="N117" s="81" t="n"/>
      <c r="O117" s="81" t="n"/>
      <c r="P117" s="81" t="n"/>
      <c r="Q117" s="113" t="n"/>
      <c r="R117" s="113" t="n"/>
      <c r="S117" s="113" t="n"/>
      <c r="T117" s="81" t="n"/>
      <c r="U117" s="81" t="n"/>
      <c r="V117" s="113" t="n"/>
      <c r="W117" s="81" t="n"/>
      <c r="X117" s="81" t="n"/>
      <c r="Y117" s="81" t="n"/>
      <c r="Z117" s="81" t="n"/>
      <c r="AA117" s="81" t="n"/>
      <c r="AB117" s="81" t="n"/>
      <c r="AC117" s="81" t="n"/>
      <c r="AD117" s="81" t="n"/>
      <c r="AE117" s="81" t="n"/>
      <c r="AF117" s="81" t="n"/>
      <c r="AG117" s="81" t="n"/>
      <c r="AH117" s="113" t="n"/>
      <c r="AI117" s="81" t="n"/>
      <c r="AJ117" s="81" t="n"/>
      <c r="AK117" s="113" t="n"/>
      <c r="AL117" s="81" t="n"/>
      <c r="AM117" s="81" t="n"/>
      <c r="AN117" s="81" t="n"/>
      <c r="AO117" s="113" t="n"/>
      <c r="AP117" s="113" t="n"/>
      <c r="AQ117" s="81" t="n"/>
      <c r="AR117" s="113" t="n"/>
      <c r="AS117" s="113" t="n"/>
      <c r="AT117" s="114" t="n"/>
      <c r="AU117" s="81" t="n"/>
      <c r="AV117" s="114" t="n"/>
      <c r="AW117" s="114" t="n"/>
      <c r="AX117" s="81" t="n"/>
      <c r="AY117" s="113" t="n"/>
      <c r="AZ117" s="115">
        <f>IF($B117="","",COUNTIF(References!$A$4:$A$503,$A117))</f>
        <v/>
      </c>
      <c r="BA117" s="115">
        <f>IF($B117="","",(LEN(A117)=0)+(LEN(B117)=0)+(LEN(D117)=0)+(LEN(G117)=0)+(LEN(H117)=0)+(LEN(I117)=0)+(LEN(J117)=0)+(LEN(L117)=0)+(LEN(M117)=0)+(LEN(O117)=0)+(LEN(R117)=0)+(LEN(X117)=0)+(LEN(AI117)=0)+(LEN(AJ117)=0)+(LEN(AQ117)=0)+(LEN(AR117)=0)+(LEN(AT117)=0)+(LEN(AU117)=0)+(LEN(AV117)=0)+(LEN(AX117)=0))</f>
        <v/>
      </c>
      <c r="BB117" s="115">
        <f>IF($B117="","",IF(AND(BA117=0,AZ117&gt;=1),"Complete","Incomplete"))</f>
        <v/>
      </c>
    </row>
    <row r="118" ht="15" customHeight="1" s="62">
      <c r="A118" s="81" t="n"/>
      <c r="B118" s="113" t="n"/>
      <c r="C118" s="81" t="n"/>
      <c r="D118" s="81" t="n"/>
      <c r="E118" s="81" t="n"/>
      <c r="F118" s="81" t="n"/>
      <c r="G118" s="81" t="n"/>
      <c r="H118" s="81" t="n"/>
      <c r="I118" s="81" t="n"/>
      <c r="J118" s="81" t="n"/>
      <c r="K118" s="81" t="n"/>
      <c r="L118" s="113" t="n"/>
      <c r="M118" s="81" t="n"/>
      <c r="N118" s="81" t="n"/>
      <c r="O118" s="81" t="n"/>
      <c r="P118" s="81" t="n"/>
      <c r="Q118" s="113" t="n"/>
      <c r="R118" s="113" t="n"/>
      <c r="S118" s="113" t="n"/>
      <c r="T118" s="81" t="n"/>
      <c r="U118" s="81" t="n"/>
      <c r="V118" s="113" t="n"/>
      <c r="W118" s="81" t="n"/>
      <c r="X118" s="81" t="n"/>
      <c r="Y118" s="81" t="n"/>
      <c r="Z118" s="81" t="n"/>
      <c r="AA118" s="81" t="n"/>
      <c r="AB118" s="81" t="n"/>
      <c r="AC118" s="81" t="n"/>
      <c r="AD118" s="81" t="n"/>
      <c r="AE118" s="81" t="n"/>
      <c r="AF118" s="81" t="n"/>
      <c r="AG118" s="81" t="n"/>
      <c r="AH118" s="113" t="n"/>
      <c r="AI118" s="81" t="n"/>
      <c r="AJ118" s="81" t="n"/>
      <c r="AK118" s="113" t="n"/>
      <c r="AL118" s="81" t="n"/>
      <c r="AM118" s="81" t="n"/>
      <c r="AN118" s="81" t="n"/>
      <c r="AO118" s="113" t="n"/>
      <c r="AP118" s="113" t="n"/>
      <c r="AQ118" s="81" t="n"/>
      <c r="AR118" s="113" t="n"/>
      <c r="AS118" s="113" t="n"/>
      <c r="AT118" s="114" t="n"/>
      <c r="AU118" s="81" t="n"/>
      <c r="AV118" s="114" t="n"/>
      <c r="AW118" s="114" t="n"/>
      <c r="AX118" s="81" t="n"/>
      <c r="AY118" s="113" t="n"/>
      <c r="AZ118" s="115">
        <f>IF($B118="","",COUNTIF(References!$A$4:$A$503,$A118))</f>
        <v/>
      </c>
      <c r="BA118" s="115">
        <f>IF($B118="","",(LEN(A118)=0)+(LEN(B118)=0)+(LEN(D118)=0)+(LEN(G118)=0)+(LEN(H118)=0)+(LEN(I118)=0)+(LEN(J118)=0)+(LEN(L118)=0)+(LEN(M118)=0)+(LEN(O118)=0)+(LEN(R118)=0)+(LEN(X118)=0)+(LEN(AI118)=0)+(LEN(AJ118)=0)+(LEN(AQ118)=0)+(LEN(AR118)=0)+(LEN(AT118)=0)+(LEN(AU118)=0)+(LEN(AV118)=0)+(LEN(AX118)=0))</f>
        <v/>
      </c>
      <c r="BB118" s="115">
        <f>IF($B118="","",IF(AND(BA118=0,AZ118&gt;=1),"Complete","Incomplete"))</f>
        <v/>
      </c>
    </row>
    <row r="119" ht="15" customHeight="1" s="62">
      <c r="A119" s="81" t="n"/>
      <c r="B119" s="113" t="n"/>
      <c r="C119" s="81" t="n"/>
      <c r="D119" s="81" t="n"/>
      <c r="E119" s="81" t="n"/>
      <c r="F119" s="81" t="n"/>
      <c r="G119" s="81" t="n"/>
      <c r="H119" s="81" t="n"/>
      <c r="I119" s="81" t="n"/>
      <c r="J119" s="81" t="n"/>
      <c r="K119" s="81" t="n"/>
      <c r="L119" s="113" t="n"/>
      <c r="M119" s="81" t="n"/>
      <c r="N119" s="81" t="n"/>
      <c r="O119" s="81" t="n"/>
      <c r="P119" s="81" t="n"/>
      <c r="Q119" s="113" t="n"/>
      <c r="R119" s="113" t="n"/>
      <c r="S119" s="113" t="n"/>
      <c r="T119" s="81" t="n"/>
      <c r="U119" s="81" t="n"/>
      <c r="V119" s="113" t="n"/>
      <c r="W119" s="81" t="n"/>
      <c r="X119" s="81" t="n"/>
      <c r="Y119" s="81" t="n"/>
      <c r="Z119" s="81" t="n"/>
      <c r="AA119" s="81" t="n"/>
      <c r="AB119" s="81" t="n"/>
      <c r="AC119" s="81" t="n"/>
      <c r="AD119" s="81" t="n"/>
      <c r="AE119" s="81" t="n"/>
      <c r="AF119" s="81" t="n"/>
      <c r="AG119" s="81" t="n"/>
      <c r="AH119" s="113" t="n"/>
      <c r="AI119" s="81" t="n"/>
      <c r="AJ119" s="81" t="n"/>
      <c r="AK119" s="113" t="n"/>
      <c r="AL119" s="81" t="n"/>
      <c r="AM119" s="81" t="n"/>
      <c r="AN119" s="81" t="n"/>
      <c r="AO119" s="113" t="n"/>
      <c r="AP119" s="113" t="n"/>
      <c r="AQ119" s="81" t="n"/>
      <c r="AR119" s="113" t="n"/>
      <c r="AS119" s="113" t="n"/>
      <c r="AT119" s="114" t="n"/>
      <c r="AU119" s="81" t="n"/>
      <c r="AV119" s="114" t="n"/>
      <c r="AW119" s="114" t="n"/>
      <c r="AX119" s="81" t="n"/>
      <c r="AY119" s="113" t="n"/>
      <c r="AZ119" s="115">
        <f>IF($B119="","",COUNTIF(References!$A$4:$A$503,$A119))</f>
        <v/>
      </c>
      <c r="BA119" s="115">
        <f>IF($B119="","",(LEN(A119)=0)+(LEN(B119)=0)+(LEN(D119)=0)+(LEN(G119)=0)+(LEN(H119)=0)+(LEN(I119)=0)+(LEN(J119)=0)+(LEN(L119)=0)+(LEN(M119)=0)+(LEN(O119)=0)+(LEN(R119)=0)+(LEN(X119)=0)+(LEN(AI119)=0)+(LEN(AJ119)=0)+(LEN(AQ119)=0)+(LEN(AR119)=0)+(LEN(AT119)=0)+(LEN(AU119)=0)+(LEN(AV119)=0)+(LEN(AX119)=0))</f>
        <v/>
      </c>
      <c r="BB119" s="115">
        <f>IF($B119="","",IF(AND(BA119=0,AZ119&gt;=1),"Complete","Incomplete"))</f>
        <v/>
      </c>
    </row>
    <row r="120" ht="15" customHeight="1" s="62">
      <c r="A120" s="81" t="n"/>
      <c r="B120" s="113" t="n"/>
      <c r="C120" s="81" t="n"/>
      <c r="D120" s="81" t="n"/>
      <c r="E120" s="81" t="n"/>
      <c r="F120" s="81" t="n"/>
      <c r="G120" s="81" t="n"/>
      <c r="H120" s="81" t="n"/>
      <c r="I120" s="81" t="n"/>
      <c r="J120" s="81" t="n"/>
      <c r="K120" s="81" t="n"/>
      <c r="L120" s="113" t="n"/>
      <c r="M120" s="81" t="n"/>
      <c r="N120" s="81" t="n"/>
      <c r="O120" s="81" t="n"/>
      <c r="P120" s="81" t="n"/>
      <c r="Q120" s="113" t="n"/>
      <c r="R120" s="113" t="n"/>
      <c r="S120" s="113" t="n"/>
      <c r="T120" s="81" t="n"/>
      <c r="U120" s="81" t="n"/>
      <c r="V120" s="113" t="n"/>
      <c r="W120" s="81" t="n"/>
      <c r="X120" s="81" t="n"/>
      <c r="Y120" s="81" t="n"/>
      <c r="Z120" s="81" t="n"/>
      <c r="AA120" s="81" t="n"/>
      <c r="AB120" s="81" t="n"/>
      <c r="AC120" s="81" t="n"/>
      <c r="AD120" s="81" t="n"/>
      <c r="AE120" s="81" t="n"/>
      <c r="AF120" s="81" t="n"/>
      <c r="AG120" s="81" t="n"/>
      <c r="AH120" s="113" t="n"/>
      <c r="AI120" s="81" t="n"/>
      <c r="AJ120" s="81" t="n"/>
      <c r="AK120" s="113" t="n"/>
      <c r="AL120" s="81" t="n"/>
      <c r="AM120" s="81" t="n"/>
      <c r="AN120" s="81" t="n"/>
      <c r="AO120" s="113" t="n"/>
      <c r="AP120" s="113" t="n"/>
      <c r="AQ120" s="81" t="n"/>
      <c r="AR120" s="113" t="n"/>
      <c r="AS120" s="113" t="n"/>
      <c r="AT120" s="114" t="n"/>
      <c r="AU120" s="81" t="n"/>
      <c r="AV120" s="114" t="n"/>
      <c r="AW120" s="114" t="n"/>
      <c r="AX120" s="81" t="n"/>
      <c r="AY120" s="113" t="n"/>
      <c r="AZ120" s="115">
        <f>IF($B120="","",COUNTIF(References!$A$4:$A$503,$A120))</f>
        <v/>
      </c>
      <c r="BA120" s="115">
        <f>IF($B120="","",(LEN(A120)=0)+(LEN(B120)=0)+(LEN(D120)=0)+(LEN(G120)=0)+(LEN(H120)=0)+(LEN(I120)=0)+(LEN(J120)=0)+(LEN(L120)=0)+(LEN(M120)=0)+(LEN(O120)=0)+(LEN(R120)=0)+(LEN(X120)=0)+(LEN(AI120)=0)+(LEN(AJ120)=0)+(LEN(AQ120)=0)+(LEN(AR120)=0)+(LEN(AT120)=0)+(LEN(AU120)=0)+(LEN(AV120)=0)+(LEN(AX120)=0))</f>
        <v/>
      </c>
      <c r="BB120" s="115">
        <f>IF($B120="","",IF(AND(BA120=0,AZ120&gt;=1),"Complete","Incomplete"))</f>
        <v/>
      </c>
    </row>
    <row r="121" ht="15" customHeight="1" s="62">
      <c r="A121" s="81" t="n"/>
      <c r="B121" s="113" t="n"/>
      <c r="C121" s="81" t="n"/>
      <c r="D121" s="81" t="n"/>
      <c r="E121" s="81" t="n"/>
      <c r="F121" s="81" t="n"/>
      <c r="G121" s="81" t="n"/>
      <c r="H121" s="81" t="n"/>
      <c r="I121" s="81" t="n"/>
      <c r="J121" s="81" t="n"/>
      <c r="K121" s="81" t="n"/>
      <c r="L121" s="113" t="n"/>
      <c r="M121" s="81" t="n"/>
      <c r="N121" s="81" t="n"/>
      <c r="O121" s="81" t="n"/>
      <c r="P121" s="81" t="n"/>
      <c r="Q121" s="113" t="n"/>
      <c r="R121" s="113" t="n"/>
      <c r="S121" s="113" t="n"/>
      <c r="T121" s="81" t="n"/>
      <c r="U121" s="81" t="n"/>
      <c r="V121" s="113" t="n"/>
      <c r="W121" s="81" t="n"/>
      <c r="X121" s="81" t="n"/>
      <c r="Y121" s="81" t="n"/>
      <c r="Z121" s="81" t="n"/>
      <c r="AA121" s="81" t="n"/>
      <c r="AB121" s="81" t="n"/>
      <c r="AC121" s="81" t="n"/>
      <c r="AD121" s="81" t="n"/>
      <c r="AE121" s="81" t="n"/>
      <c r="AF121" s="81" t="n"/>
      <c r="AG121" s="81" t="n"/>
      <c r="AH121" s="113" t="n"/>
      <c r="AI121" s="81" t="n"/>
      <c r="AJ121" s="81" t="n"/>
      <c r="AK121" s="113" t="n"/>
      <c r="AL121" s="81" t="n"/>
      <c r="AM121" s="81" t="n"/>
      <c r="AN121" s="81" t="n"/>
      <c r="AO121" s="113" t="n"/>
      <c r="AP121" s="113" t="n"/>
      <c r="AQ121" s="81" t="n"/>
      <c r="AR121" s="113" t="n"/>
      <c r="AS121" s="113" t="n"/>
      <c r="AT121" s="114" t="n"/>
      <c r="AU121" s="81" t="n"/>
      <c r="AV121" s="114" t="n"/>
      <c r="AW121" s="114" t="n"/>
      <c r="AX121" s="81" t="n"/>
      <c r="AY121" s="113" t="n"/>
      <c r="AZ121" s="115">
        <f>IF($B121="","",COUNTIF(References!$A$4:$A$503,$A121))</f>
        <v/>
      </c>
      <c r="BA121" s="115">
        <f>IF($B121="","",(LEN(A121)=0)+(LEN(B121)=0)+(LEN(D121)=0)+(LEN(G121)=0)+(LEN(H121)=0)+(LEN(I121)=0)+(LEN(J121)=0)+(LEN(L121)=0)+(LEN(M121)=0)+(LEN(O121)=0)+(LEN(R121)=0)+(LEN(X121)=0)+(LEN(AI121)=0)+(LEN(AJ121)=0)+(LEN(AQ121)=0)+(LEN(AR121)=0)+(LEN(AT121)=0)+(LEN(AU121)=0)+(LEN(AV121)=0)+(LEN(AX121)=0))</f>
        <v/>
      </c>
      <c r="BB121" s="115">
        <f>IF($B121="","",IF(AND(BA121=0,AZ121&gt;=1),"Complete","Incomplete"))</f>
        <v/>
      </c>
    </row>
    <row r="122" ht="15" customHeight="1" s="62">
      <c r="A122" s="81" t="n"/>
      <c r="B122" s="113" t="n"/>
      <c r="C122" s="81" t="n"/>
      <c r="D122" s="81" t="n"/>
      <c r="E122" s="81" t="n"/>
      <c r="F122" s="81" t="n"/>
      <c r="G122" s="81" t="n"/>
      <c r="H122" s="81" t="n"/>
      <c r="I122" s="81" t="n"/>
      <c r="J122" s="81" t="n"/>
      <c r="K122" s="81" t="n"/>
      <c r="L122" s="113" t="n"/>
      <c r="M122" s="81" t="n"/>
      <c r="N122" s="81" t="n"/>
      <c r="O122" s="81" t="n"/>
      <c r="P122" s="81" t="n"/>
      <c r="Q122" s="113" t="n"/>
      <c r="R122" s="113" t="n"/>
      <c r="S122" s="113" t="n"/>
      <c r="T122" s="81" t="n"/>
      <c r="U122" s="81" t="n"/>
      <c r="V122" s="113" t="n"/>
      <c r="W122" s="81" t="n"/>
      <c r="X122" s="81" t="n"/>
      <c r="Y122" s="81" t="n"/>
      <c r="Z122" s="81" t="n"/>
      <c r="AA122" s="81" t="n"/>
      <c r="AB122" s="81" t="n"/>
      <c r="AC122" s="81" t="n"/>
      <c r="AD122" s="81" t="n"/>
      <c r="AE122" s="81" t="n"/>
      <c r="AF122" s="81" t="n"/>
      <c r="AG122" s="81" t="n"/>
      <c r="AH122" s="113" t="n"/>
      <c r="AI122" s="81" t="n"/>
      <c r="AJ122" s="81" t="n"/>
      <c r="AK122" s="113" t="n"/>
      <c r="AL122" s="81" t="n"/>
      <c r="AM122" s="81" t="n"/>
      <c r="AN122" s="81" t="n"/>
      <c r="AO122" s="113" t="n"/>
      <c r="AP122" s="113" t="n"/>
      <c r="AQ122" s="81" t="n"/>
      <c r="AR122" s="113" t="n"/>
      <c r="AS122" s="113" t="n"/>
      <c r="AT122" s="114" t="n"/>
      <c r="AU122" s="81" t="n"/>
      <c r="AV122" s="114" t="n"/>
      <c r="AW122" s="114" t="n"/>
      <c r="AX122" s="81" t="n"/>
      <c r="AY122" s="113" t="n"/>
      <c r="AZ122" s="115">
        <f>IF($B122="","",COUNTIF(References!$A$4:$A$503,$A122))</f>
        <v/>
      </c>
      <c r="BA122" s="115">
        <f>IF($B122="","",(LEN(A122)=0)+(LEN(B122)=0)+(LEN(D122)=0)+(LEN(G122)=0)+(LEN(H122)=0)+(LEN(I122)=0)+(LEN(J122)=0)+(LEN(L122)=0)+(LEN(M122)=0)+(LEN(O122)=0)+(LEN(R122)=0)+(LEN(X122)=0)+(LEN(AI122)=0)+(LEN(AJ122)=0)+(LEN(AQ122)=0)+(LEN(AR122)=0)+(LEN(AT122)=0)+(LEN(AU122)=0)+(LEN(AV122)=0)+(LEN(AX122)=0))</f>
        <v/>
      </c>
      <c r="BB122" s="115">
        <f>IF($B122="","",IF(AND(BA122=0,AZ122&gt;=1),"Complete","Incomplete"))</f>
        <v/>
      </c>
    </row>
    <row r="123" ht="15" customHeight="1" s="62">
      <c r="A123" s="81" t="n"/>
      <c r="B123" s="113" t="n"/>
      <c r="C123" s="81" t="n"/>
      <c r="D123" s="81" t="n"/>
      <c r="E123" s="81" t="n"/>
      <c r="F123" s="81" t="n"/>
      <c r="G123" s="81" t="n"/>
      <c r="H123" s="81" t="n"/>
      <c r="I123" s="81" t="n"/>
      <c r="J123" s="81" t="n"/>
      <c r="K123" s="81" t="n"/>
      <c r="L123" s="113" t="n"/>
      <c r="M123" s="81" t="n"/>
      <c r="N123" s="81" t="n"/>
      <c r="O123" s="81" t="n"/>
      <c r="P123" s="81" t="n"/>
      <c r="Q123" s="113" t="n"/>
      <c r="R123" s="113" t="n"/>
      <c r="S123" s="113" t="n"/>
      <c r="T123" s="81" t="n"/>
      <c r="U123" s="81" t="n"/>
      <c r="V123" s="113" t="n"/>
      <c r="W123" s="81" t="n"/>
      <c r="X123" s="81" t="n"/>
      <c r="Y123" s="81" t="n"/>
      <c r="Z123" s="81" t="n"/>
      <c r="AA123" s="81" t="n"/>
      <c r="AB123" s="81" t="n"/>
      <c r="AC123" s="81" t="n"/>
      <c r="AD123" s="81" t="n"/>
      <c r="AE123" s="81" t="n"/>
      <c r="AF123" s="81" t="n"/>
      <c r="AG123" s="81" t="n"/>
      <c r="AH123" s="113" t="n"/>
      <c r="AI123" s="81" t="n"/>
      <c r="AJ123" s="81" t="n"/>
      <c r="AK123" s="113" t="n"/>
      <c r="AL123" s="81" t="n"/>
      <c r="AM123" s="81" t="n"/>
      <c r="AN123" s="81" t="n"/>
      <c r="AO123" s="113" t="n"/>
      <c r="AP123" s="113" t="n"/>
      <c r="AQ123" s="81" t="n"/>
      <c r="AR123" s="113" t="n"/>
      <c r="AS123" s="113" t="n"/>
      <c r="AT123" s="114" t="n"/>
      <c r="AU123" s="81" t="n"/>
      <c r="AV123" s="114" t="n"/>
      <c r="AW123" s="114" t="n"/>
      <c r="AX123" s="81" t="n"/>
      <c r="AY123" s="113" t="n"/>
      <c r="AZ123" s="115">
        <f>IF($B123="","",COUNTIF(References!$A$4:$A$503,$A123))</f>
        <v/>
      </c>
      <c r="BA123" s="115">
        <f>IF($B123="","",(LEN(A123)=0)+(LEN(B123)=0)+(LEN(D123)=0)+(LEN(G123)=0)+(LEN(H123)=0)+(LEN(I123)=0)+(LEN(J123)=0)+(LEN(L123)=0)+(LEN(M123)=0)+(LEN(O123)=0)+(LEN(R123)=0)+(LEN(X123)=0)+(LEN(AI123)=0)+(LEN(AJ123)=0)+(LEN(AQ123)=0)+(LEN(AR123)=0)+(LEN(AT123)=0)+(LEN(AU123)=0)+(LEN(AV123)=0)+(LEN(AX123)=0))</f>
        <v/>
      </c>
      <c r="BB123" s="115">
        <f>IF($B123="","",IF(AND(BA123=0,AZ123&gt;=1),"Complete","Incomplete"))</f>
        <v/>
      </c>
    </row>
    <row r="124" ht="15" customHeight="1" s="62">
      <c r="A124" s="81" t="n"/>
      <c r="B124" s="113" t="n"/>
      <c r="C124" s="81" t="n"/>
      <c r="D124" s="81" t="n"/>
      <c r="E124" s="81" t="n"/>
      <c r="F124" s="81" t="n"/>
      <c r="G124" s="81" t="n"/>
      <c r="H124" s="81" t="n"/>
      <c r="I124" s="81" t="n"/>
      <c r="J124" s="81" t="n"/>
      <c r="K124" s="81" t="n"/>
      <c r="L124" s="113" t="n"/>
      <c r="M124" s="81" t="n"/>
      <c r="N124" s="81" t="n"/>
      <c r="O124" s="81" t="n"/>
      <c r="P124" s="81" t="n"/>
      <c r="Q124" s="113" t="n"/>
      <c r="R124" s="113" t="n"/>
      <c r="S124" s="113" t="n"/>
      <c r="T124" s="81" t="n"/>
      <c r="U124" s="81" t="n"/>
      <c r="V124" s="113" t="n"/>
      <c r="W124" s="81" t="n"/>
      <c r="X124" s="81" t="n"/>
      <c r="Y124" s="81" t="n"/>
      <c r="Z124" s="81" t="n"/>
      <c r="AA124" s="81" t="n"/>
      <c r="AB124" s="81" t="n"/>
      <c r="AC124" s="81" t="n"/>
      <c r="AD124" s="81" t="n"/>
      <c r="AE124" s="81" t="n"/>
      <c r="AF124" s="81" t="n"/>
      <c r="AG124" s="81" t="n"/>
      <c r="AH124" s="113" t="n"/>
      <c r="AI124" s="81" t="n"/>
      <c r="AJ124" s="81" t="n"/>
      <c r="AK124" s="113" t="n"/>
      <c r="AL124" s="81" t="n"/>
      <c r="AM124" s="81" t="n"/>
      <c r="AN124" s="81" t="n"/>
      <c r="AO124" s="113" t="n"/>
      <c r="AP124" s="113" t="n"/>
      <c r="AQ124" s="81" t="n"/>
      <c r="AR124" s="113" t="n"/>
      <c r="AS124" s="113" t="n"/>
      <c r="AT124" s="114" t="n"/>
      <c r="AU124" s="81" t="n"/>
      <c r="AV124" s="114" t="n"/>
      <c r="AW124" s="114" t="n"/>
      <c r="AX124" s="81" t="n"/>
      <c r="AY124" s="113" t="n"/>
      <c r="AZ124" s="115">
        <f>IF($B124="","",COUNTIF(References!$A$4:$A$503,$A124))</f>
        <v/>
      </c>
      <c r="BA124" s="115">
        <f>IF($B124="","",(LEN(A124)=0)+(LEN(B124)=0)+(LEN(D124)=0)+(LEN(G124)=0)+(LEN(H124)=0)+(LEN(I124)=0)+(LEN(J124)=0)+(LEN(L124)=0)+(LEN(M124)=0)+(LEN(O124)=0)+(LEN(R124)=0)+(LEN(X124)=0)+(LEN(AI124)=0)+(LEN(AJ124)=0)+(LEN(AQ124)=0)+(LEN(AR124)=0)+(LEN(AT124)=0)+(LEN(AU124)=0)+(LEN(AV124)=0)+(LEN(AX124)=0))</f>
        <v/>
      </c>
      <c r="BB124" s="115">
        <f>IF($B124="","",IF(AND(BA124=0,AZ124&gt;=1),"Complete","Incomplete"))</f>
        <v/>
      </c>
    </row>
    <row r="125" ht="15" customHeight="1" s="62">
      <c r="A125" s="81" t="n"/>
      <c r="B125" s="113" t="n"/>
      <c r="C125" s="81" t="n"/>
      <c r="D125" s="81" t="n"/>
      <c r="E125" s="81" t="n"/>
      <c r="F125" s="81" t="n"/>
      <c r="G125" s="81" t="n"/>
      <c r="H125" s="81" t="n"/>
      <c r="I125" s="81" t="n"/>
      <c r="J125" s="81" t="n"/>
      <c r="K125" s="81" t="n"/>
      <c r="L125" s="113" t="n"/>
      <c r="M125" s="81" t="n"/>
      <c r="N125" s="81" t="n"/>
      <c r="O125" s="81" t="n"/>
      <c r="P125" s="81" t="n"/>
      <c r="Q125" s="113" t="n"/>
      <c r="R125" s="113" t="n"/>
      <c r="S125" s="113" t="n"/>
      <c r="T125" s="81" t="n"/>
      <c r="U125" s="81" t="n"/>
      <c r="V125" s="113" t="n"/>
      <c r="W125" s="81" t="n"/>
      <c r="X125" s="81" t="n"/>
      <c r="Y125" s="81" t="n"/>
      <c r="Z125" s="81" t="n"/>
      <c r="AA125" s="81" t="n"/>
      <c r="AB125" s="81" t="n"/>
      <c r="AC125" s="81" t="n"/>
      <c r="AD125" s="81" t="n"/>
      <c r="AE125" s="81" t="n"/>
      <c r="AF125" s="81" t="n"/>
      <c r="AG125" s="81" t="n"/>
      <c r="AH125" s="113" t="n"/>
      <c r="AI125" s="81" t="n"/>
      <c r="AJ125" s="81" t="n"/>
      <c r="AK125" s="113" t="n"/>
      <c r="AL125" s="81" t="n"/>
      <c r="AM125" s="81" t="n"/>
      <c r="AN125" s="81" t="n"/>
      <c r="AO125" s="113" t="n"/>
      <c r="AP125" s="113" t="n"/>
      <c r="AQ125" s="81" t="n"/>
      <c r="AR125" s="113" t="n"/>
      <c r="AS125" s="113" t="n"/>
      <c r="AT125" s="114" t="n"/>
      <c r="AU125" s="81" t="n"/>
      <c r="AV125" s="114" t="n"/>
      <c r="AW125" s="114" t="n"/>
      <c r="AX125" s="81" t="n"/>
      <c r="AY125" s="113" t="n"/>
      <c r="AZ125" s="115">
        <f>IF($B125="","",COUNTIF(References!$A$4:$A$503,$A125))</f>
        <v/>
      </c>
      <c r="BA125" s="115">
        <f>IF($B125="","",(LEN(A125)=0)+(LEN(B125)=0)+(LEN(D125)=0)+(LEN(G125)=0)+(LEN(H125)=0)+(LEN(I125)=0)+(LEN(J125)=0)+(LEN(L125)=0)+(LEN(M125)=0)+(LEN(O125)=0)+(LEN(R125)=0)+(LEN(X125)=0)+(LEN(AI125)=0)+(LEN(AJ125)=0)+(LEN(AQ125)=0)+(LEN(AR125)=0)+(LEN(AT125)=0)+(LEN(AU125)=0)+(LEN(AV125)=0)+(LEN(AX125)=0))</f>
        <v/>
      </c>
      <c r="BB125" s="115">
        <f>IF($B125="","",IF(AND(BA125=0,AZ125&gt;=1),"Complete","Incomplete"))</f>
        <v/>
      </c>
    </row>
    <row r="126" ht="15" customHeight="1" s="62">
      <c r="A126" s="81" t="n"/>
      <c r="B126" s="113" t="n"/>
      <c r="C126" s="81" t="n"/>
      <c r="D126" s="81" t="n"/>
      <c r="E126" s="81" t="n"/>
      <c r="F126" s="81" t="n"/>
      <c r="G126" s="81" t="n"/>
      <c r="H126" s="81" t="n"/>
      <c r="I126" s="81" t="n"/>
      <c r="J126" s="81" t="n"/>
      <c r="K126" s="81" t="n"/>
      <c r="L126" s="113" t="n"/>
      <c r="M126" s="81" t="n"/>
      <c r="N126" s="81" t="n"/>
      <c r="O126" s="81" t="n"/>
      <c r="P126" s="81" t="n"/>
      <c r="Q126" s="113" t="n"/>
      <c r="R126" s="113" t="n"/>
      <c r="S126" s="113" t="n"/>
      <c r="T126" s="81" t="n"/>
      <c r="U126" s="81" t="n"/>
      <c r="V126" s="113" t="n"/>
      <c r="W126" s="81" t="n"/>
      <c r="X126" s="81" t="n"/>
      <c r="Y126" s="81" t="n"/>
      <c r="Z126" s="81" t="n"/>
      <c r="AA126" s="81" t="n"/>
      <c r="AB126" s="81" t="n"/>
      <c r="AC126" s="81" t="n"/>
      <c r="AD126" s="81" t="n"/>
      <c r="AE126" s="81" t="n"/>
      <c r="AF126" s="81" t="n"/>
      <c r="AG126" s="81" t="n"/>
      <c r="AH126" s="113" t="n"/>
      <c r="AI126" s="81" t="n"/>
      <c r="AJ126" s="81" t="n"/>
      <c r="AK126" s="113" t="n"/>
      <c r="AL126" s="81" t="n"/>
      <c r="AM126" s="81" t="n"/>
      <c r="AN126" s="81" t="n"/>
      <c r="AO126" s="113" t="n"/>
      <c r="AP126" s="113" t="n"/>
      <c r="AQ126" s="81" t="n"/>
      <c r="AR126" s="113" t="n"/>
      <c r="AS126" s="113" t="n"/>
      <c r="AT126" s="114" t="n"/>
      <c r="AU126" s="81" t="n"/>
      <c r="AV126" s="114" t="n"/>
      <c r="AW126" s="114" t="n"/>
      <c r="AX126" s="81" t="n"/>
      <c r="AY126" s="113" t="n"/>
      <c r="AZ126" s="115">
        <f>IF($B126="","",COUNTIF(References!$A$4:$A$503,$A126))</f>
        <v/>
      </c>
      <c r="BA126" s="115">
        <f>IF($B126="","",(LEN(A126)=0)+(LEN(B126)=0)+(LEN(D126)=0)+(LEN(G126)=0)+(LEN(H126)=0)+(LEN(I126)=0)+(LEN(J126)=0)+(LEN(L126)=0)+(LEN(M126)=0)+(LEN(O126)=0)+(LEN(R126)=0)+(LEN(X126)=0)+(LEN(AI126)=0)+(LEN(AJ126)=0)+(LEN(AQ126)=0)+(LEN(AR126)=0)+(LEN(AT126)=0)+(LEN(AU126)=0)+(LEN(AV126)=0)+(LEN(AX126)=0))</f>
        <v/>
      </c>
      <c r="BB126" s="115">
        <f>IF($B126="","",IF(AND(BA126=0,AZ126&gt;=1),"Complete","Incomplete"))</f>
        <v/>
      </c>
    </row>
    <row r="127" ht="15" customHeight="1" s="62">
      <c r="A127" s="81" t="n"/>
      <c r="B127" s="113" t="n"/>
      <c r="C127" s="81" t="n"/>
      <c r="D127" s="81" t="n"/>
      <c r="E127" s="81" t="n"/>
      <c r="F127" s="81" t="n"/>
      <c r="G127" s="81" t="n"/>
      <c r="H127" s="81" t="n"/>
      <c r="I127" s="81" t="n"/>
      <c r="J127" s="81" t="n"/>
      <c r="K127" s="81" t="n"/>
      <c r="L127" s="113" t="n"/>
      <c r="M127" s="81" t="n"/>
      <c r="N127" s="81" t="n"/>
      <c r="O127" s="81" t="n"/>
      <c r="P127" s="81" t="n"/>
      <c r="Q127" s="113" t="n"/>
      <c r="R127" s="113" t="n"/>
      <c r="S127" s="113" t="n"/>
      <c r="T127" s="81" t="n"/>
      <c r="U127" s="81" t="n"/>
      <c r="V127" s="113" t="n"/>
      <c r="W127" s="81" t="n"/>
      <c r="X127" s="81" t="n"/>
      <c r="Y127" s="81" t="n"/>
      <c r="Z127" s="81" t="n"/>
      <c r="AA127" s="81" t="n"/>
      <c r="AB127" s="81" t="n"/>
      <c r="AC127" s="81" t="n"/>
      <c r="AD127" s="81" t="n"/>
      <c r="AE127" s="81" t="n"/>
      <c r="AF127" s="81" t="n"/>
      <c r="AG127" s="81" t="n"/>
      <c r="AH127" s="113" t="n"/>
      <c r="AI127" s="81" t="n"/>
      <c r="AJ127" s="81" t="n"/>
      <c r="AK127" s="113" t="n"/>
      <c r="AL127" s="81" t="n"/>
      <c r="AM127" s="81" t="n"/>
      <c r="AN127" s="81" t="n"/>
      <c r="AO127" s="113" t="n"/>
      <c r="AP127" s="113" t="n"/>
      <c r="AQ127" s="81" t="n"/>
      <c r="AR127" s="113" t="n"/>
      <c r="AS127" s="113" t="n"/>
      <c r="AT127" s="114" t="n"/>
      <c r="AU127" s="81" t="n"/>
      <c r="AV127" s="114" t="n"/>
      <c r="AW127" s="114" t="n"/>
      <c r="AX127" s="81" t="n"/>
      <c r="AY127" s="113" t="n"/>
      <c r="AZ127" s="115">
        <f>IF($B127="","",COUNTIF(References!$A$4:$A$503,$A127))</f>
        <v/>
      </c>
      <c r="BA127" s="115">
        <f>IF($B127="","",(LEN(A127)=0)+(LEN(B127)=0)+(LEN(D127)=0)+(LEN(G127)=0)+(LEN(H127)=0)+(LEN(I127)=0)+(LEN(J127)=0)+(LEN(L127)=0)+(LEN(M127)=0)+(LEN(O127)=0)+(LEN(R127)=0)+(LEN(X127)=0)+(LEN(AI127)=0)+(LEN(AJ127)=0)+(LEN(AQ127)=0)+(LEN(AR127)=0)+(LEN(AT127)=0)+(LEN(AU127)=0)+(LEN(AV127)=0)+(LEN(AX127)=0))</f>
        <v/>
      </c>
      <c r="BB127" s="115">
        <f>IF($B127="","",IF(AND(BA127=0,AZ127&gt;=1),"Complete","Incomplete"))</f>
        <v/>
      </c>
    </row>
    <row r="128" ht="15" customHeight="1" s="62">
      <c r="A128" s="81" t="n"/>
      <c r="B128" s="113" t="n"/>
      <c r="C128" s="81" t="n"/>
      <c r="D128" s="81" t="n"/>
      <c r="E128" s="81" t="n"/>
      <c r="F128" s="81" t="n"/>
      <c r="G128" s="81" t="n"/>
      <c r="H128" s="81" t="n"/>
      <c r="I128" s="81" t="n"/>
      <c r="J128" s="81" t="n"/>
      <c r="K128" s="81" t="n"/>
      <c r="L128" s="113" t="n"/>
      <c r="M128" s="81" t="n"/>
      <c r="N128" s="81" t="n"/>
      <c r="O128" s="81" t="n"/>
      <c r="P128" s="81" t="n"/>
      <c r="Q128" s="113" t="n"/>
      <c r="R128" s="113" t="n"/>
      <c r="S128" s="113" t="n"/>
      <c r="T128" s="81" t="n"/>
      <c r="U128" s="81" t="n"/>
      <c r="V128" s="113" t="n"/>
      <c r="W128" s="81" t="n"/>
      <c r="X128" s="81" t="n"/>
      <c r="Y128" s="81" t="n"/>
      <c r="Z128" s="81" t="n"/>
      <c r="AA128" s="81" t="n"/>
      <c r="AB128" s="81" t="n"/>
      <c r="AC128" s="81" t="n"/>
      <c r="AD128" s="81" t="n"/>
      <c r="AE128" s="81" t="n"/>
      <c r="AF128" s="81" t="n"/>
      <c r="AG128" s="81" t="n"/>
      <c r="AH128" s="113" t="n"/>
      <c r="AI128" s="81" t="n"/>
      <c r="AJ128" s="81" t="n"/>
      <c r="AK128" s="113" t="n"/>
      <c r="AL128" s="81" t="n"/>
      <c r="AM128" s="81" t="n"/>
      <c r="AN128" s="81" t="n"/>
      <c r="AO128" s="113" t="n"/>
      <c r="AP128" s="113" t="n"/>
      <c r="AQ128" s="81" t="n"/>
      <c r="AR128" s="113" t="n"/>
      <c r="AS128" s="113" t="n"/>
      <c r="AT128" s="114" t="n"/>
      <c r="AU128" s="81" t="n"/>
      <c r="AV128" s="114" t="n"/>
      <c r="AW128" s="114" t="n"/>
      <c r="AX128" s="81" t="n"/>
      <c r="AY128" s="113" t="n"/>
      <c r="AZ128" s="115">
        <f>IF($B128="","",COUNTIF(References!$A$4:$A$503,$A128))</f>
        <v/>
      </c>
      <c r="BA128" s="115">
        <f>IF($B128="","",(LEN(A128)=0)+(LEN(B128)=0)+(LEN(D128)=0)+(LEN(G128)=0)+(LEN(H128)=0)+(LEN(I128)=0)+(LEN(J128)=0)+(LEN(L128)=0)+(LEN(M128)=0)+(LEN(O128)=0)+(LEN(R128)=0)+(LEN(X128)=0)+(LEN(AI128)=0)+(LEN(AJ128)=0)+(LEN(AQ128)=0)+(LEN(AR128)=0)+(LEN(AT128)=0)+(LEN(AU128)=0)+(LEN(AV128)=0)+(LEN(AX128)=0))</f>
        <v/>
      </c>
      <c r="BB128" s="115">
        <f>IF($B128="","",IF(AND(BA128=0,AZ128&gt;=1),"Complete","Incomplete"))</f>
        <v/>
      </c>
    </row>
    <row r="129" ht="15" customHeight="1" s="62">
      <c r="A129" s="81" t="n"/>
      <c r="B129" s="113" t="n"/>
      <c r="C129" s="81" t="n"/>
      <c r="D129" s="81" t="n"/>
      <c r="E129" s="81" t="n"/>
      <c r="F129" s="81" t="n"/>
      <c r="G129" s="81" t="n"/>
      <c r="H129" s="81" t="n"/>
      <c r="I129" s="81" t="n"/>
      <c r="J129" s="81" t="n"/>
      <c r="K129" s="81" t="n"/>
      <c r="L129" s="113" t="n"/>
      <c r="M129" s="81" t="n"/>
      <c r="N129" s="81" t="n"/>
      <c r="O129" s="81" t="n"/>
      <c r="P129" s="81" t="n"/>
      <c r="Q129" s="113" t="n"/>
      <c r="R129" s="113" t="n"/>
      <c r="S129" s="113" t="n"/>
      <c r="T129" s="81" t="n"/>
      <c r="U129" s="81" t="n"/>
      <c r="V129" s="113" t="n"/>
      <c r="W129" s="81" t="n"/>
      <c r="X129" s="81" t="n"/>
      <c r="Y129" s="81" t="n"/>
      <c r="Z129" s="81" t="n"/>
      <c r="AA129" s="81" t="n"/>
      <c r="AB129" s="81" t="n"/>
      <c r="AC129" s="81" t="n"/>
      <c r="AD129" s="81" t="n"/>
      <c r="AE129" s="81" t="n"/>
      <c r="AF129" s="81" t="n"/>
      <c r="AG129" s="81" t="n"/>
      <c r="AH129" s="113" t="n"/>
      <c r="AI129" s="81" t="n"/>
      <c r="AJ129" s="81" t="n"/>
      <c r="AK129" s="113" t="n"/>
      <c r="AL129" s="81" t="n"/>
      <c r="AM129" s="81" t="n"/>
      <c r="AN129" s="81" t="n"/>
      <c r="AO129" s="113" t="n"/>
      <c r="AP129" s="113" t="n"/>
      <c r="AQ129" s="81" t="n"/>
      <c r="AR129" s="113" t="n"/>
      <c r="AS129" s="113" t="n"/>
      <c r="AT129" s="114" t="n"/>
      <c r="AU129" s="81" t="n"/>
      <c r="AV129" s="114" t="n"/>
      <c r="AW129" s="114" t="n"/>
      <c r="AX129" s="81" t="n"/>
      <c r="AY129" s="113" t="n"/>
      <c r="AZ129" s="115">
        <f>IF($B129="","",COUNTIF(References!$A$4:$A$503,$A129))</f>
        <v/>
      </c>
      <c r="BA129" s="115">
        <f>IF($B129="","",(LEN(A129)=0)+(LEN(B129)=0)+(LEN(D129)=0)+(LEN(G129)=0)+(LEN(H129)=0)+(LEN(I129)=0)+(LEN(J129)=0)+(LEN(L129)=0)+(LEN(M129)=0)+(LEN(O129)=0)+(LEN(R129)=0)+(LEN(X129)=0)+(LEN(AI129)=0)+(LEN(AJ129)=0)+(LEN(AQ129)=0)+(LEN(AR129)=0)+(LEN(AT129)=0)+(LEN(AU129)=0)+(LEN(AV129)=0)+(LEN(AX129)=0))</f>
        <v/>
      </c>
      <c r="BB129" s="115">
        <f>IF($B129="","",IF(AND(BA129=0,AZ129&gt;=1),"Complete","Incomplete"))</f>
        <v/>
      </c>
    </row>
    <row r="130" ht="15" customHeight="1" s="62">
      <c r="A130" s="81" t="n"/>
      <c r="B130" s="113" t="n"/>
      <c r="C130" s="81" t="n"/>
      <c r="D130" s="81" t="n"/>
      <c r="E130" s="81" t="n"/>
      <c r="F130" s="81" t="n"/>
      <c r="G130" s="81" t="n"/>
      <c r="H130" s="81" t="n"/>
      <c r="I130" s="81" t="n"/>
      <c r="J130" s="81" t="n"/>
      <c r="K130" s="81" t="n"/>
      <c r="L130" s="113" t="n"/>
      <c r="M130" s="81" t="n"/>
      <c r="N130" s="81" t="n"/>
      <c r="O130" s="81" t="n"/>
      <c r="P130" s="81" t="n"/>
      <c r="Q130" s="113" t="n"/>
      <c r="R130" s="113" t="n"/>
      <c r="S130" s="113" t="n"/>
      <c r="T130" s="81" t="n"/>
      <c r="U130" s="81" t="n"/>
      <c r="V130" s="113" t="n"/>
      <c r="W130" s="81" t="n"/>
      <c r="X130" s="81" t="n"/>
      <c r="Y130" s="81" t="n"/>
      <c r="Z130" s="81" t="n"/>
      <c r="AA130" s="81" t="n"/>
      <c r="AB130" s="81" t="n"/>
      <c r="AC130" s="81" t="n"/>
      <c r="AD130" s="81" t="n"/>
      <c r="AE130" s="81" t="n"/>
      <c r="AF130" s="81" t="n"/>
      <c r="AG130" s="81" t="n"/>
      <c r="AH130" s="113" t="n"/>
      <c r="AI130" s="81" t="n"/>
      <c r="AJ130" s="81" t="n"/>
      <c r="AK130" s="113" t="n"/>
      <c r="AL130" s="81" t="n"/>
      <c r="AM130" s="81" t="n"/>
      <c r="AN130" s="81" t="n"/>
      <c r="AO130" s="113" t="n"/>
      <c r="AP130" s="113" t="n"/>
      <c r="AQ130" s="81" t="n"/>
      <c r="AR130" s="113" t="n"/>
      <c r="AS130" s="113" t="n"/>
      <c r="AT130" s="114" t="n"/>
      <c r="AU130" s="81" t="n"/>
      <c r="AV130" s="114" t="n"/>
      <c r="AW130" s="114" t="n"/>
      <c r="AX130" s="81" t="n"/>
      <c r="AY130" s="113" t="n"/>
      <c r="AZ130" s="115">
        <f>IF($B130="","",COUNTIF(References!$A$4:$A$503,$A130))</f>
        <v/>
      </c>
      <c r="BA130" s="115">
        <f>IF($B130="","",(LEN(A130)=0)+(LEN(B130)=0)+(LEN(D130)=0)+(LEN(G130)=0)+(LEN(H130)=0)+(LEN(I130)=0)+(LEN(J130)=0)+(LEN(L130)=0)+(LEN(M130)=0)+(LEN(O130)=0)+(LEN(R130)=0)+(LEN(X130)=0)+(LEN(AI130)=0)+(LEN(AJ130)=0)+(LEN(AQ130)=0)+(LEN(AR130)=0)+(LEN(AT130)=0)+(LEN(AU130)=0)+(LEN(AV130)=0)+(LEN(AX130)=0))</f>
        <v/>
      </c>
      <c r="BB130" s="115">
        <f>IF($B130="","",IF(AND(BA130=0,AZ130&gt;=1),"Complete","Incomplete"))</f>
        <v/>
      </c>
    </row>
    <row r="131" ht="15" customHeight="1" s="62">
      <c r="A131" s="81" t="n"/>
      <c r="B131" s="113" t="n"/>
      <c r="C131" s="81" t="n"/>
      <c r="D131" s="81" t="n"/>
      <c r="E131" s="81" t="n"/>
      <c r="F131" s="81" t="n"/>
      <c r="G131" s="81" t="n"/>
      <c r="H131" s="81" t="n"/>
      <c r="I131" s="81" t="n"/>
      <c r="J131" s="81" t="n"/>
      <c r="K131" s="81" t="n"/>
      <c r="L131" s="113" t="n"/>
      <c r="M131" s="81" t="n"/>
      <c r="N131" s="81" t="n"/>
      <c r="O131" s="81" t="n"/>
      <c r="P131" s="81" t="n"/>
      <c r="Q131" s="113" t="n"/>
      <c r="R131" s="113" t="n"/>
      <c r="S131" s="113" t="n"/>
      <c r="T131" s="81" t="n"/>
      <c r="U131" s="81" t="n"/>
      <c r="V131" s="113" t="n"/>
      <c r="W131" s="81" t="n"/>
      <c r="X131" s="81" t="n"/>
      <c r="Y131" s="81" t="n"/>
      <c r="Z131" s="81" t="n"/>
      <c r="AA131" s="81" t="n"/>
      <c r="AB131" s="81" t="n"/>
      <c r="AC131" s="81" t="n"/>
      <c r="AD131" s="81" t="n"/>
      <c r="AE131" s="81" t="n"/>
      <c r="AF131" s="81" t="n"/>
      <c r="AG131" s="81" t="n"/>
      <c r="AH131" s="113" t="n"/>
      <c r="AI131" s="81" t="n"/>
      <c r="AJ131" s="81" t="n"/>
      <c r="AK131" s="113" t="n"/>
      <c r="AL131" s="81" t="n"/>
      <c r="AM131" s="81" t="n"/>
      <c r="AN131" s="81" t="n"/>
      <c r="AO131" s="113" t="n"/>
      <c r="AP131" s="113" t="n"/>
      <c r="AQ131" s="81" t="n"/>
      <c r="AR131" s="113" t="n"/>
      <c r="AS131" s="113" t="n"/>
      <c r="AT131" s="114" t="n"/>
      <c r="AU131" s="81" t="n"/>
      <c r="AV131" s="114" t="n"/>
      <c r="AW131" s="114" t="n"/>
      <c r="AX131" s="81" t="n"/>
      <c r="AY131" s="113" t="n"/>
      <c r="AZ131" s="115">
        <f>IF($B131="","",COUNTIF(References!$A$4:$A$503,$A131))</f>
        <v/>
      </c>
      <c r="BA131" s="115">
        <f>IF($B131="","",(LEN(A131)=0)+(LEN(B131)=0)+(LEN(D131)=0)+(LEN(G131)=0)+(LEN(H131)=0)+(LEN(I131)=0)+(LEN(J131)=0)+(LEN(L131)=0)+(LEN(M131)=0)+(LEN(O131)=0)+(LEN(R131)=0)+(LEN(X131)=0)+(LEN(AI131)=0)+(LEN(AJ131)=0)+(LEN(AQ131)=0)+(LEN(AR131)=0)+(LEN(AT131)=0)+(LEN(AU131)=0)+(LEN(AV131)=0)+(LEN(AX131)=0))</f>
        <v/>
      </c>
      <c r="BB131" s="115">
        <f>IF($B131="","",IF(AND(BA131=0,AZ131&gt;=1),"Complete","Incomplete"))</f>
        <v/>
      </c>
    </row>
    <row r="132" ht="15" customHeight="1" s="62">
      <c r="A132" s="81" t="n"/>
      <c r="B132" s="113" t="n"/>
      <c r="C132" s="81" t="n"/>
      <c r="D132" s="81" t="n"/>
      <c r="E132" s="81" t="n"/>
      <c r="F132" s="81" t="n"/>
      <c r="G132" s="81" t="n"/>
      <c r="H132" s="81" t="n"/>
      <c r="I132" s="81" t="n"/>
      <c r="J132" s="81" t="n"/>
      <c r="K132" s="81" t="n"/>
      <c r="L132" s="113" t="n"/>
      <c r="M132" s="81" t="n"/>
      <c r="N132" s="81" t="n"/>
      <c r="O132" s="81" t="n"/>
      <c r="P132" s="81" t="n"/>
      <c r="Q132" s="113" t="n"/>
      <c r="R132" s="113" t="n"/>
      <c r="S132" s="113" t="n"/>
      <c r="T132" s="81" t="n"/>
      <c r="U132" s="81" t="n"/>
      <c r="V132" s="113" t="n"/>
      <c r="W132" s="81" t="n"/>
      <c r="X132" s="81" t="n"/>
      <c r="Y132" s="81" t="n"/>
      <c r="Z132" s="81" t="n"/>
      <c r="AA132" s="81" t="n"/>
      <c r="AB132" s="81" t="n"/>
      <c r="AC132" s="81" t="n"/>
      <c r="AD132" s="81" t="n"/>
      <c r="AE132" s="81" t="n"/>
      <c r="AF132" s="81" t="n"/>
      <c r="AG132" s="81" t="n"/>
      <c r="AH132" s="113" t="n"/>
      <c r="AI132" s="81" t="n"/>
      <c r="AJ132" s="81" t="n"/>
      <c r="AK132" s="113" t="n"/>
      <c r="AL132" s="81" t="n"/>
      <c r="AM132" s="81" t="n"/>
      <c r="AN132" s="81" t="n"/>
      <c r="AO132" s="113" t="n"/>
      <c r="AP132" s="113" t="n"/>
      <c r="AQ132" s="81" t="n"/>
      <c r="AR132" s="113" t="n"/>
      <c r="AS132" s="113" t="n"/>
      <c r="AT132" s="114" t="n"/>
      <c r="AU132" s="81" t="n"/>
      <c r="AV132" s="114" t="n"/>
      <c r="AW132" s="114" t="n"/>
      <c r="AX132" s="81" t="n"/>
      <c r="AY132" s="113" t="n"/>
      <c r="AZ132" s="115">
        <f>IF($B132="","",COUNTIF(References!$A$4:$A$503,$A132))</f>
        <v/>
      </c>
      <c r="BA132" s="115">
        <f>IF($B132="","",(LEN(A132)=0)+(LEN(B132)=0)+(LEN(D132)=0)+(LEN(G132)=0)+(LEN(H132)=0)+(LEN(I132)=0)+(LEN(J132)=0)+(LEN(L132)=0)+(LEN(M132)=0)+(LEN(O132)=0)+(LEN(R132)=0)+(LEN(X132)=0)+(LEN(AI132)=0)+(LEN(AJ132)=0)+(LEN(AQ132)=0)+(LEN(AR132)=0)+(LEN(AT132)=0)+(LEN(AU132)=0)+(LEN(AV132)=0)+(LEN(AX132)=0))</f>
        <v/>
      </c>
      <c r="BB132" s="115">
        <f>IF($B132="","",IF(AND(BA132=0,AZ132&gt;=1),"Complete","Incomplete"))</f>
        <v/>
      </c>
    </row>
    <row r="133" ht="15" customHeight="1" s="62">
      <c r="A133" s="81" t="n"/>
      <c r="B133" s="113" t="n"/>
      <c r="C133" s="81" t="n"/>
      <c r="D133" s="81" t="n"/>
      <c r="E133" s="81" t="n"/>
      <c r="F133" s="81" t="n"/>
      <c r="G133" s="81" t="n"/>
      <c r="H133" s="81" t="n"/>
      <c r="I133" s="81" t="n"/>
      <c r="J133" s="81" t="n"/>
      <c r="K133" s="81" t="n"/>
      <c r="L133" s="113" t="n"/>
      <c r="M133" s="81" t="n"/>
      <c r="N133" s="81" t="n"/>
      <c r="O133" s="81" t="n"/>
      <c r="P133" s="81" t="n"/>
      <c r="Q133" s="113" t="n"/>
      <c r="R133" s="113" t="n"/>
      <c r="S133" s="113" t="n"/>
      <c r="T133" s="81" t="n"/>
      <c r="U133" s="81" t="n"/>
      <c r="V133" s="113" t="n"/>
      <c r="W133" s="81" t="n"/>
      <c r="X133" s="81" t="n"/>
      <c r="Y133" s="81" t="n"/>
      <c r="Z133" s="81" t="n"/>
      <c r="AA133" s="81" t="n"/>
      <c r="AB133" s="81" t="n"/>
      <c r="AC133" s="81" t="n"/>
      <c r="AD133" s="81" t="n"/>
      <c r="AE133" s="81" t="n"/>
      <c r="AF133" s="81" t="n"/>
      <c r="AG133" s="81" t="n"/>
      <c r="AH133" s="113" t="n"/>
      <c r="AI133" s="81" t="n"/>
      <c r="AJ133" s="81" t="n"/>
      <c r="AK133" s="113" t="n"/>
      <c r="AL133" s="81" t="n"/>
      <c r="AM133" s="81" t="n"/>
      <c r="AN133" s="81" t="n"/>
      <c r="AO133" s="113" t="n"/>
      <c r="AP133" s="113" t="n"/>
      <c r="AQ133" s="81" t="n"/>
      <c r="AR133" s="113" t="n"/>
      <c r="AS133" s="113" t="n"/>
      <c r="AT133" s="114" t="n"/>
      <c r="AU133" s="81" t="n"/>
      <c r="AV133" s="114" t="n"/>
      <c r="AW133" s="114" t="n"/>
      <c r="AX133" s="81" t="n"/>
      <c r="AY133" s="113" t="n"/>
      <c r="AZ133" s="115">
        <f>IF($B133="","",COUNTIF(References!$A$4:$A$503,$A133))</f>
        <v/>
      </c>
      <c r="BA133" s="115">
        <f>IF($B133="","",(LEN(A133)=0)+(LEN(B133)=0)+(LEN(D133)=0)+(LEN(G133)=0)+(LEN(H133)=0)+(LEN(I133)=0)+(LEN(J133)=0)+(LEN(L133)=0)+(LEN(M133)=0)+(LEN(O133)=0)+(LEN(R133)=0)+(LEN(X133)=0)+(LEN(AI133)=0)+(LEN(AJ133)=0)+(LEN(AQ133)=0)+(LEN(AR133)=0)+(LEN(AT133)=0)+(LEN(AU133)=0)+(LEN(AV133)=0)+(LEN(AX133)=0))</f>
        <v/>
      </c>
      <c r="BB133" s="115">
        <f>IF($B133="","",IF(AND(BA133=0,AZ133&gt;=1),"Complete","Incomplete"))</f>
        <v/>
      </c>
    </row>
    <row r="134" ht="15" customHeight="1" s="62">
      <c r="A134" s="81" t="n"/>
      <c r="B134" s="113" t="n"/>
      <c r="C134" s="81" t="n"/>
      <c r="D134" s="81" t="n"/>
      <c r="E134" s="81" t="n"/>
      <c r="F134" s="81" t="n"/>
      <c r="G134" s="81" t="n"/>
      <c r="H134" s="81" t="n"/>
      <c r="I134" s="81" t="n"/>
      <c r="J134" s="81" t="n"/>
      <c r="K134" s="81" t="n"/>
      <c r="L134" s="113" t="n"/>
      <c r="M134" s="81" t="n"/>
      <c r="N134" s="81" t="n"/>
      <c r="O134" s="81" t="n"/>
      <c r="P134" s="81" t="n"/>
      <c r="Q134" s="113" t="n"/>
      <c r="R134" s="113" t="n"/>
      <c r="S134" s="113" t="n"/>
      <c r="T134" s="81" t="n"/>
      <c r="U134" s="81" t="n"/>
      <c r="V134" s="113" t="n"/>
      <c r="W134" s="81" t="n"/>
      <c r="X134" s="81" t="n"/>
      <c r="Y134" s="81" t="n"/>
      <c r="Z134" s="81" t="n"/>
      <c r="AA134" s="81" t="n"/>
      <c r="AB134" s="81" t="n"/>
      <c r="AC134" s="81" t="n"/>
      <c r="AD134" s="81" t="n"/>
      <c r="AE134" s="81" t="n"/>
      <c r="AF134" s="81" t="n"/>
      <c r="AG134" s="81" t="n"/>
      <c r="AH134" s="113" t="n"/>
      <c r="AI134" s="81" t="n"/>
      <c r="AJ134" s="81" t="n"/>
      <c r="AK134" s="113" t="n"/>
      <c r="AL134" s="81" t="n"/>
      <c r="AM134" s="81" t="n"/>
      <c r="AN134" s="81" t="n"/>
      <c r="AO134" s="113" t="n"/>
      <c r="AP134" s="113" t="n"/>
      <c r="AQ134" s="81" t="n"/>
      <c r="AR134" s="113" t="n"/>
      <c r="AS134" s="113" t="n"/>
      <c r="AT134" s="114" t="n"/>
      <c r="AU134" s="81" t="n"/>
      <c r="AV134" s="114" t="n"/>
      <c r="AW134" s="114" t="n"/>
      <c r="AX134" s="81" t="n"/>
      <c r="AY134" s="113" t="n"/>
      <c r="AZ134" s="115">
        <f>IF($B134="","",COUNTIF(References!$A$4:$A$503,$A134))</f>
        <v/>
      </c>
      <c r="BA134" s="115">
        <f>IF($B134="","",(LEN(A134)=0)+(LEN(B134)=0)+(LEN(D134)=0)+(LEN(G134)=0)+(LEN(H134)=0)+(LEN(I134)=0)+(LEN(J134)=0)+(LEN(L134)=0)+(LEN(M134)=0)+(LEN(O134)=0)+(LEN(R134)=0)+(LEN(X134)=0)+(LEN(AI134)=0)+(LEN(AJ134)=0)+(LEN(AQ134)=0)+(LEN(AR134)=0)+(LEN(AT134)=0)+(LEN(AU134)=0)+(LEN(AV134)=0)+(LEN(AX134)=0))</f>
        <v/>
      </c>
      <c r="BB134" s="115">
        <f>IF($B134="","",IF(AND(BA134=0,AZ134&gt;=1),"Complete","Incomplete"))</f>
        <v/>
      </c>
    </row>
    <row r="135" ht="15" customHeight="1" s="62">
      <c r="A135" s="81" t="n"/>
      <c r="B135" s="113" t="n"/>
      <c r="C135" s="81" t="n"/>
      <c r="D135" s="81" t="n"/>
      <c r="E135" s="81" t="n"/>
      <c r="F135" s="81" t="n"/>
      <c r="G135" s="81" t="n"/>
      <c r="H135" s="81" t="n"/>
      <c r="I135" s="81" t="n"/>
      <c r="J135" s="81" t="n"/>
      <c r="K135" s="81" t="n"/>
      <c r="L135" s="113" t="n"/>
      <c r="M135" s="81" t="n"/>
      <c r="N135" s="81" t="n"/>
      <c r="O135" s="81" t="n"/>
      <c r="P135" s="81" t="n"/>
      <c r="Q135" s="113" t="n"/>
      <c r="R135" s="113" t="n"/>
      <c r="S135" s="113" t="n"/>
      <c r="T135" s="81" t="n"/>
      <c r="U135" s="81" t="n"/>
      <c r="V135" s="113" t="n"/>
      <c r="W135" s="81" t="n"/>
      <c r="X135" s="81" t="n"/>
      <c r="Y135" s="81" t="n"/>
      <c r="Z135" s="81" t="n"/>
      <c r="AA135" s="81" t="n"/>
      <c r="AB135" s="81" t="n"/>
      <c r="AC135" s="81" t="n"/>
      <c r="AD135" s="81" t="n"/>
      <c r="AE135" s="81" t="n"/>
      <c r="AF135" s="81" t="n"/>
      <c r="AG135" s="81" t="n"/>
      <c r="AH135" s="113" t="n"/>
      <c r="AI135" s="81" t="n"/>
      <c r="AJ135" s="81" t="n"/>
      <c r="AK135" s="113" t="n"/>
      <c r="AL135" s="81" t="n"/>
      <c r="AM135" s="81" t="n"/>
      <c r="AN135" s="81" t="n"/>
      <c r="AO135" s="113" t="n"/>
      <c r="AP135" s="113" t="n"/>
      <c r="AQ135" s="81" t="n"/>
      <c r="AR135" s="113" t="n"/>
      <c r="AS135" s="113" t="n"/>
      <c r="AT135" s="114" t="n"/>
      <c r="AU135" s="81" t="n"/>
      <c r="AV135" s="114" t="n"/>
      <c r="AW135" s="114" t="n"/>
      <c r="AX135" s="81" t="n"/>
      <c r="AY135" s="113" t="n"/>
      <c r="AZ135" s="115">
        <f>IF($B135="","",COUNTIF(References!$A$4:$A$503,$A135))</f>
        <v/>
      </c>
      <c r="BA135" s="115">
        <f>IF($B135="","",(LEN(A135)=0)+(LEN(B135)=0)+(LEN(D135)=0)+(LEN(G135)=0)+(LEN(H135)=0)+(LEN(I135)=0)+(LEN(J135)=0)+(LEN(L135)=0)+(LEN(M135)=0)+(LEN(O135)=0)+(LEN(R135)=0)+(LEN(X135)=0)+(LEN(AI135)=0)+(LEN(AJ135)=0)+(LEN(AQ135)=0)+(LEN(AR135)=0)+(LEN(AT135)=0)+(LEN(AU135)=0)+(LEN(AV135)=0)+(LEN(AX135)=0))</f>
        <v/>
      </c>
      <c r="BB135" s="115">
        <f>IF($B135="","",IF(AND(BA135=0,AZ135&gt;=1),"Complete","Incomplete"))</f>
        <v/>
      </c>
    </row>
    <row r="136" ht="15" customHeight="1" s="62">
      <c r="A136" s="81" t="n"/>
      <c r="B136" s="113" t="n"/>
      <c r="C136" s="81" t="n"/>
      <c r="D136" s="81" t="n"/>
      <c r="E136" s="81" t="n"/>
      <c r="F136" s="81" t="n"/>
      <c r="G136" s="81" t="n"/>
      <c r="H136" s="81" t="n"/>
      <c r="I136" s="81" t="n"/>
      <c r="J136" s="81" t="n"/>
      <c r="K136" s="81" t="n"/>
      <c r="L136" s="113" t="n"/>
      <c r="M136" s="81" t="n"/>
      <c r="N136" s="81" t="n"/>
      <c r="O136" s="81" t="n"/>
      <c r="P136" s="81" t="n"/>
      <c r="Q136" s="113" t="n"/>
      <c r="R136" s="113" t="n"/>
      <c r="S136" s="113" t="n"/>
      <c r="T136" s="81" t="n"/>
      <c r="U136" s="81" t="n"/>
      <c r="V136" s="113" t="n"/>
      <c r="W136" s="81" t="n"/>
      <c r="X136" s="81" t="n"/>
      <c r="Y136" s="81" t="n"/>
      <c r="Z136" s="81" t="n"/>
      <c r="AA136" s="81" t="n"/>
      <c r="AB136" s="81" t="n"/>
      <c r="AC136" s="81" t="n"/>
      <c r="AD136" s="81" t="n"/>
      <c r="AE136" s="81" t="n"/>
      <c r="AF136" s="81" t="n"/>
      <c r="AG136" s="81" t="n"/>
      <c r="AH136" s="113" t="n"/>
      <c r="AI136" s="81" t="n"/>
      <c r="AJ136" s="81" t="n"/>
      <c r="AK136" s="113" t="n"/>
      <c r="AL136" s="81" t="n"/>
      <c r="AM136" s="81" t="n"/>
      <c r="AN136" s="81" t="n"/>
      <c r="AO136" s="113" t="n"/>
      <c r="AP136" s="113" t="n"/>
      <c r="AQ136" s="81" t="n"/>
      <c r="AR136" s="113" t="n"/>
      <c r="AS136" s="113" t="n"/>
      <c r="AT136" s="114" t="n"/>
      <c r="AU136" s="81" t="n"/>
      <c r="AV136" s="114" t="n"/>
      <c r="AW136" s="114" t="n"/>
      <c r="AX136" s="81" t="n"/>
      <c r="AY136" s="113" t="n"/>
      <c r="AZ136" s="115">
        <f>IF($B136="","",COUNTIF(References!$A$4:$A$503,$A136))</f>
        <v/>
      </c>
      <c r="BA136" s="115">
        <f>IF($B136="","",(LEN(A136)=0)+(LEN(B136)=0)+(LEN(D136)=0)+(LEN(G136)=0)+(LEN(H136)=0)+(LEN(I136)=0)+(LEN(J136)=0)+(LEN(L136)=0)+(LEN(M136)=0)+(LEN(O136)=0)+(LEN(R136)=0)+(LEN(X136)=0)+(LEN(AI136)=0)+(LEN(AJ136)=0)+(LEN(AQ136)=0)+(LEN(AR136)=0)+(LEN(AT136)=0)+(LEN(AU136)=0)+(LEN(AV136)=0)+(LEN(AX136)=0))</f>
        <v/>
      </c>
      <c r="BB136" s="115">
        <f>IF($B136="","",IF(AND(BA136=0,AZ136&gt;=1),"Complete","Incomplete"))</f>
        <v/>
      </c>
    </row>
    <row r="137" ht="15" customHeight="1" s="62">
      <c r="A137" s="81" t="n"/>
      <c r="B137" s="113" t="n"/>
      <c r="C137" s="81" t="n"/>
      <c r="D137" s="81" t="n"/>
      <c r="E137" s="81" t="n"/>
      <c r="F137" s="81" t="n"/>
      <c r="G137" s="81" t="n"/>
      <c r="H137" s="81" t="n"/>
      <c r="I137" s="81" t="n"/>
      <c r="J137" s="81" t="n"/>
      <c r="K137" s="81" t="n"/>
      <c r="L137" s="113" t="n"/>
      <c r="M137" s="81" t="n"/>
      <c r="N137" s="81" t="n"/>
      <c r="O137" s="81" t="n"/>
      <c r="P137" s="81" t="n"/>
      <c r="Q137" s="113" t="n"/>
      <c r="R137" s="113" t="n"/>
      <c r="S137" s="113" t="n"/>
      <c r="T137" s="81" t="n"/>
      <c r="U137" s="81" t="n"/>
      <c r="V137" s="113" t="n"/>
      <c r="W137" s="81" t="n"/>
      <c r="X137" s="81" t="n"/>
      <c r="Y137" s="81" t="n"/>
      <c r="Z137" s="81" t="n"/>
      <c r="AA137" s="81" t="n"/>
      <c r="AB137" s="81" t="n"/>
      <c r="AC137" s="81" t="n"/>
      <c r="AD137" s="81" t="n"/>
      <c r="AE137" s="81" t="n"/>
      <c r="AF137" s="81" t="n"/>
      <c r="AG137" s="81" t="n"/>
      <c r="AH137" s="113" t="n"/>
      <c r="AI137" s="81" t="n"/>
      <c r="AJ137" s="81" t="n"/>
      <c r="AK137" s="113" t="n"/>
      <c r="AL137" s="81" t="n"/>
      <c r="AM137" s="81" t="n"/>
      <c r="AN137" s="81" t="n"/>
      <c r="AO137" s="113" t="n"/>
      <c r="AP137" s="113" t="n"/>
      <c r="AQ137" s="81" t="n"/>
      <c r="AR137" s="113" t="n"/>
      <c r="AS137" s="113" t="n"/>
      <c r="AT137" s="114" t="n"/>
      <c r="AU137" s="81" t="n"/>
      <c r="AV137" s="114" t="n"/>
      <c r="AW137" s="114" t="n"/>
      <c r="AX137" s="81" t="n"/>
      <c r="AY137" s="113" t="n"/>
      <c r="AZ137" s="115">
        <f>IF($B137="","",COUNTIF(References!$A$4:$A$503,$A137))</f>
        <v/>
      </c>
      <c r="BA137" s="115">
        <f>IF($B137="","",(LEN(A137)=0)+(LEN(B137)=0)+(LEN(D137)=0)+(LEN(G137)=0)+(LEN(H137)=0)+(LEN(I137)=0)+(LEN(J137)=0)+(LEN(L137)=0)+(LEN(M137)=0)+(LEN(O137)=0)+(LEN(R137)=0)+(LEN(X137)=0)+(LEN(AI137)=0)+(LEN(AJ137)=0)+(LEN(AQ137)=0)+(LEN(AR137)=0)+(LEN(AT137)=0)+(LEN(AU137)=0)+(LEN(AV137)=0)+(LEN(AX137)=0))</f>
        <v/>
      </c>
      <c r="BB137" s="115">
        <f>IF($B137="","",IF(AND(BA137=0,AZ137&gt;=1),"Complete","Incomplete"))</f>
        <v/>
      </c>
    </row>
    <row r="138" ht="15" customHeight="1" s="62">
      <c r="A138" s="81" t="n"/>
      <c r="B138" s="113" t="n"/>
      <c r="C138" s="81" t="n"/>
      <c r="D138" s="81" t="n"/>
      <c r="E138" s="81" t="n"/>
      <c r="F138" s="81" t="n"/>
      <c r="G138" s="81" t="n"/>
      <c r="H138" s="81" t="n"/>
      <c r="I138" s="81" t="n"/>
      <c r="J138" s="81" t="n"/>
      <c r="K138" s="81" t="n"/>
      <c r="L138" s="113" t="n"/>
      <c r="M138" s="81" t="n"/>
      <c r="N138" s="81" t="n"/>
      <c r="O138" s="81" t="n"/>
      <c r="P138" s="81" t="n"/>
      <c r="Q138" s="113" t="n"/>
      <c r="R138" s="113" t="n"/>
      <c r="S138" s="113" t="n"/>
      <c r="T138" s="81" t="n"/>
      <c r="U138" s="81" t="n"/>
      <c r="V138" s="113" t="n"/>
      <c r="W138" s="81" t="n"/>
      <c r="X138" s="81" t="n"/>
      <c r="Y138" s="81" t="n"/>
      <c r="Z138" s="81" t="n"/>
      <c r="AA138" s="81" t="n"/>
      <c r="AB138" s="81" t="n"/>
      <c r="AC138" s="81" t="n"/>
      <c r="AD138" s="81" t="n"/>
      <c r="AE138" s="81" t="n"/>
      <c r="AF138" s="81" t="n"/>
      <c r="AG138" s="81" t="n"/>
      <c r="AH138" s="113" t="n"/>
      <c r="AI138" s="81" t="n"/>
      <c r="AJ138" s="81" t="n"/>
      <c r="AK138" s="113" t="n"/>
      <c r="AL138" s="81" t="n"/>
      <c r="AM138" s="81" t="n"/>
      <c r="AN138" s="81" t="n"/>
      <c r="AO138" s="113" t="n"/>
      <c r="AP138" s="113" t="n"/>
      <c r="AQ138" s="81" t="n"/>
      <c r="AR138" s="113" t="n"/>
      <c r="AS138" s="113" t="n"/>
      <c r="AT138" s="114" t="n"/>
      <c r="AU138" s="81" t="n"/>
      <c r="AV138" s="114" t="n"/>
      <c r="AW138" s="114" t="n"/>
      <c r="AX138" s="81" t="n"/>
      <c r="AY138" s="113" t="n"/>
      <c r="AZ138" s="115">
        <f>IF($B138="","",COUNTIF(References!$A$4:$A$503,$A138))</f>
        <v/>
      </c>
      <c r="BA138" s="115">
        <f>IF($B138="","",(LEN(A138)=0)+(LEN(B138)=0)+(LEN(D138)=0)+(LEN(G138)=0)+(LEN(H138)=0)+(LEN(I138)=0)+(LEN(J138)=0)+(LEN(L138)=0)+(LEN(M138)=0)+(LEN(O138)=0)+(LEN(R138)=0)+(LEN(X138)=0)+(LEN(AI138)=0)+(LEN(AJ138)=0)+(LEN(AQ138)=0)+(LEN(AR138)=0)+(LEN(AT138)=0)+(LEN(AU138)=0)+(LEN(AV138)=0)+(LEN(AX138)=0))</f>
        <v/>
      </c>
      <c r="BB138" s="115">
        <f>IF($B138="","",IF(AND(BA138=0,AZ138&gt;=1),"Complete","Incomplete"))</f>
        <v/>
      </c>
    </row>
    <row r="139" ht="15" customHeight="1" s="62">
      <c r="A139" s="81" t="n"/>
      <c r="B139" s="113" t="n"/>
      <c r="C139" s="81" t="n"/>
      <c r="D139" s="81" t="n"/>
      <c r="E139" s="81" t="n"/>
      <c r="F139" s="81" t="n"/>
      <c r="G139" s="81" t="n"/>
      <c r="H139" s="81" t="n"/>
      <c r="I139" s="81" t="n"/>
      <c r="J139" s="81" t="n"/>
      <c r="K139" s="81" t="n"/>
      <c r="L139" s="113" t="n"/>
      <c r="M139" s="81" t="n"/>
      <c r="N139" s="81" t="n"/>
      <c r="O139" s="81" t="n"/>
      <c r="P139" s="81" t="n"/>
      <c r="Q139" s="113" t="n"/>
      <c r="R139" s="113" t="n"/>
      <c r="S139" s="113" t="n"/>
      <c r="T139" s="81" t="n"/>
      <c r="U139" s="81" t="n"/>
      <c r="V139" s="113" t="n"/>
      <c r="W139" s="81" t="n"/>
      <c r="X139" s="81" t="n"/>
      <c r="Y139" s="81" t="n"/>
      <c r="Z139" s="81" t="n"/>
      <c r="AA139" s="81" t="n"/>
      <c r="AB139" s="81" t="n"/>
      <c r="AC139" s="81" t="n"/>
      <c r="AD139" s="81" t="n"/>
      <c r="AE139" s="81" t="n"/>
      <c r="AF139" s="81" t="n"/>
      <c r="AG139" s="81" t="n"/>
      <c r="AH139" s="113" t="n"/>
      <c r="AI139" s="81" t="n"/>
      <c r="AJ139" s="81" t="n"/>
      <c r="AK139" s="113" t="n"/>
      <c r="AL139" s="81" t="n"/>
      <c r="AM139" s="81" t="n"/>
      <c r="AN139" s="81" t="n"/>
      <c r="AO139" s="113" t="n"/>
      <c r="AP139" s="113" t="n"/>
      <c r="AQ139" s="81" t="n"/>
      <c r="AR139" s="113" t="n"/>
      <c r="AS139" s="113" t="n"/>
      <c r="AT139" s="114" t="n"/>
      <c r="AU139" s="81" t="n"/>
      <c r="AV139" s="114" t="n"/>
      <c r="AW139" s="114" t="n"/>
      <c r="AX139" s="81" t="n"/>
      <c r="AY139" s="113" t="n"/>
      <c r="AZ139" s="115">
        <f>IF($B139="","",COUNTIF(References!$A$4:$A$503,$A139))</f>
        <v/>
      </c>
      <c r="BA139" s="115">
        <f>IF($B139="","",(LEN(A139)=0)+(LEN(B139)=0)+(LEN(D139)=0)+(LEN(G139)=0)+(LEN(H139)=0)+(LEN(I139)=0)+(LEN(J139)=0)+(LEN(L139)=0)+(LEN(M139)=0)+(LEN(O139)=0)+(LEN(R139)=0)+(LEN(X139)=0)+(LEN(AI139)=0)+(LEN(AJ139)=0)+(LEN(AQ139)=0)+(LEN(AR139)=0)+(LEN(AT139)=0)+(LEN(AU139)=0)+(LEN(AV139)=0)+(LEN(AX139)=0))</f>
        <v/>
      </c>
      <c r="BB139" s="115">
        <f>IF($B139="","",IF(AND(BA139=0,AZ139&gt;=1),"Complete","Incomplete"))</f>
        <v/>
      </c>
    </row>
    <row r="140" ht="15" customHeight="1" s="62">
      <c r="A140" s="81" t="n"/>
      <c r="B140" s="113" t="n"/>
      <c r="C140" s="81" t="n"/>
      <c r="D140" s="81" t="n"/>
      <c r="E140" s="81" t="n"/>
      <c r="F140" s="81" t="n"/>
      <c r="G140" s="81" t="n"/>
      <c r="H140" s="81" t="n"/>
      <c r="I140" s="81" t="n"/>
      <c r="J140" s="81" t="n"/>
      <c r="K140" s="81" t="n"/>
      <c r="L140" s="113" t="n"/>
      <c r="M140" s="81" t="n"/>
      <c r="N140" s="81" t="n"/>
      <c r="O140" s="81" t="n"/>
      <c r="P140" s="81" t="n"/>
      <c r="Q140" s="113" t="n"/>
      <c r="R140" s="113" t="n"/>
      <c r="S140" s="113" t="n"/>
      <c r="T140" s="81" t="n"/>
      <c r="U140" s="81" t="n"/>
      <c r="V140" s="113" t="n"/>
      <c r="W140" s="81" t="n"/>
      <c r="X140" s="81" t="n"/>
      <c r="Y140" s="81" t="n"/>
      <c r="Z140" s="81" t="n"/>
      <c r="AA140" s="81" t="n"/>
      <c r="AB140" s="81" t="n"/>
      <c r="AC140" s="81" t="n"/>
      <c r="AD140" s="81" t="n"/>
      <c r="AE140" s="81" t="n"/>
      <c r="AF140" s="81" t="n"/>
      <c r="AG140" s="81" t="n"/>
      <c r="AH140" s="113" t="n"/>
      <c r="AI140" s="81" t="n"/>
      <c r="AJ140" s="81" t="n"/>
      <c r="AK140" s="113" t="n"/>
      <c r="AL140" s="81" t="n"/>
      <c r="AM140" s="81" t="n"/>
      <c r="AN140" s="81" t="n"/>
      <c r="AO140" s="113" t="n"/>
      <c r="AP140" s="113" t="n"/>
      <c r="AQ140" s="81" t="n"/>
      <c r="AR140" s="113" t="n"/>
      <c r="AS140" s="113" t="n"/>
      <c r="AT140" s="114" t="n"/>
      <c r="AU140" s="81" t="n"/>
      <c r="AV140" s="114" t="n"/>
      <c r="AW140" s="114" t="n"/>
      <c r="AX140" s="81" t="n"/>
      <c r="AY140" s="113" t="n"/>
      <c r="AZ140" s="115">
        <f>IF($B140="","",COUNTIF(References!$A$4:$A$503,$A140))</f>
        <v/>
      </c>
      <c r="BA140" s="115">
        <f>IF($B140="","",(LEN(A140)=0)+(LEN(B140)=0)+(LEN(D140)=0)+(LEN(G140)=0)+(LEN(H140)=0)+(LEN(I140)=0)+(LEN(J140)=0)+(LEN(L140)=0)+(LEN(M140)=0)+(LEN(O140)=0)+(LEN(R140)=0)+(LEN(X140)=0)+(LEN(AI140)=0)+(LEN(AJ140)=0)+(LEN(AQ140)=0)+(LEN(AR140)=0)+(LEN(AT140)=0)+(LEN(AU140)=0)+(LEN(AV140)=0)+(LEN(AX140)=0))</f>
        <v/>
      </c>
      <c r="BB140" s="115">
        <f>IF($B140="","",IF(AND(BA140=0,AZ140&gt;=1),"Complete","Incomplete"))</f>
        <v/>
      </c>
    </row>
    <row r="141" ht="15" customHeight="1" s="62">
      <c r="A141" s="81" t="n"/>
      <c r="B141" s="113" t="n"/>
      <c r="C141" s="81" t="n"/>
      <c r="D141" s="81" t="n"/>
      <c r="E141" s="81" t="n"/>
      <c r="F141" s="81" t="n"/>
      <c r="G141" s="81" t="n"/>
      <c r="H141" s="81" t="n"/>
      <c r="I141" s="81" t="n"/>
      <c r="J141" s="81" t="n"/>
      <c r="K141" s="81" t="n"/>
      <c r="L141" s="113" t="n"/>
      <c r="M141" s="81" t="n"/>
      <c r="N141" s="81" t="n"/>
      <c r="O141" s="81" t="n"/>
      <c r="P141" s="81" t="n"/>
      <c r="Q141" s="113" t="n"/>
      <c r="R141" s="113" t="n"/>
      <c r="S141" s="113" t="n"/>
      <c r="T141" s="81" t="n"/>
      <c r="U141" s="81" t="n"/>
      <c r="V141" s="113" t="n"/>
      <c r="W141" s="81" t="n"/>
      <c r="X141" s="81" t="n"/>
      <c r="Y141" s="81" t="n"/>
      <c r="Z141" s="81" t="n"/>
      <c r="AA141" s="81" t="n"/>
      <c r="AB141" s="81" t="n"/>
      <c r="AC141" s="81" t="n"/>
      <c r="AD141" s="81" t="n"/>
      <c r="AE141" s="81" t="n"/>
      <c r="AF141" s="81" t="n"/>
      <c r="AG141" s="81" t="n"/>
      <c r="AH141" s="113" t="n"/>
      <c r="AI141" s="81" t="n"/>
      <c r="AJ141" s="81" t="n"/>
      <c r="AK141" s="113" t="n"/>
      <c r="AL141" s="81" t="n"/>
      <c r="AM141" s="81" t="n"/>
      <c r="AN141" s="81" t="n"/>
      <c r="AO141" s="113" t="n"/>
      <c r="AP141" s="113" t="n"/>
      <c r="AQ141" s="81" t="n"/>
      <c r="AR141" s="113" t="n"/>
      <c r="AS141" s="113" t="n"/>
      <c r="AT141" s="114" t="n"/>
      <c r="AU141" s="81" t="n"/>
      <c r="AV141" s="114" t="n"/>
      <c r="AW141" s="114" t="n"/>
      <c r="AX141" s="81" t="n"/>
      <c r="AY141" s="113" t="n"/>
      <c r="AZ141" s="115">
        <f>IF($B141="","",COUNTIF(References!$A$4:$A$503,$A141))</f>
        <v/>
      </c>
      <c r="BA141" s="115">
        <f>IF($B141="","",(LEN(A141)=0)+(LEN(B141)=0)+(LEN(D141)=0)+(LEN(G141)=0)+(LEN(H141)=0)+(LEN(I141)=0)+(LEN(J141)=0)+(LEN(L141)=0)+(LEN(M141)=0)+(LEN(O141)=0)+(LEN(R141)=0)+(LEN(X141)=0)+(LEN(AI141)=0)+(LEN(AJ141)=0)+(LEN(AQ141)=0)+(LEN(AR141)=0)+(LEN(AT141)=0)+(LEN(AU141)=0)+(LEN(AV141)=0)+(LEN(AX141)=0))</f>
        <v/>
      </c>
      <c r="BB141" s="115">
        <f>IF($B141="","",IF(AND(BA141=0,AZ141&gt;=1),"Complete","Incomplete"))</f>
        <v/>
      </c>
    </row>
    <row r="142" ht="15" customHeight="1" s="62">
      <c r="A142" s="81" t="n"/>
      <c r="B142" s="113" t="n"/>
      <c r="C142" s="81" t="n"/>
      <c r="D142" s="81" t="n"/>
      <c r="E142" s="81" t="n"/>
      <c r="F142" s="81" t="n"/>
      <c r="G142" s="81" t="n"/>
      <c r="H142" s="81" t="n"/>
      <c r="I142" s="81" t="n"/>
      <c r="J142" s="81" t="n"/>
      <c r="K142" s="81" t="n"/>
      <c r="L142" s="113" t="n"/>
      <c r="M142" s="81" t="n"/>
      <c r="N142" s="81" t="n"/>
      <c r="O142" s="81" t="n"/>
      <c r="P142" s="81" t="n"/>
      <c r="Q142" s="113" t="n"/>
      <c r="R142" s="113" t="n"/>
      <c r="S142" s="113" t="n"/>
      <c r="T142" s="81" t="n"/>
      <c r="U142" s="81" t="n"/>
      <c r="V142" s="113" t="n"/>
      <c r="W142" s="81" t="n"/>
      <c r="X142" s="81" t="n"/>
      <c r="Y142" s="81" t="n"/>
      <c r="Z142" s="81" t="n"/>
      <c r="AA142" s="81" t="n"/>
      <c r="AB142" s="81" t="n"/>
      <c r="AC142" s="81" t="n"/>
      <c r="AD142" s="81" t="n"/>
      <c r="AE142" s="81" t="n"/>
      <c r="AF142" s="81" t="n"/>
      <c r="AG142" s="81" t="n"/>
      <c r="AH142" s="113" t="n"/>
      <c r="AI142" s="81" t="n"/>
      <c r="AJ142" s="81" t="n"/>
      <c r="AK142" s="113" t="n"/>
      <c r="AL142" s="81" t="n"/>
      <c r="AM142" s="81" t="n"/>
      <c r="AN142" s="81" t="n"/>
      <c r="AO142" s="113" t="n"/>
      <c r="AP142" s="113" t="n"/>
      <c r="AQ142" s="81" t="n"/>
      <c r="AR142" s="113" t="n"/>
      <c r="AS142" s="113" t="n"/>
      <c r="AT142" s="114" t="n"/>
      <c r="AU142" s="81" t="n"/>
      <c r="AV142" s="114" t="n"/>
      <c r="AW142" s="114" t="n"/>
      <c r="AX142" s="81" t="n"/>
      <c r="AY142" s="113" t="n"/>
      <c r="AZ142" s="115">
        <f>IF($B142="","",COUNTIF(References!$A$4:$A$503,$A142))</f>
        <v/>
      </c>
      <c r="BA142" s="115">
        <f>IF($B142="","",(LEN(A142)=0)+(LEN(B142)=0)+(LEN(D142)=0)+(LEN(G142)=0)+(LEN(H142)=0)+(LEN(I142)=0)+(LEN(J142)=0)+(LEN(L142)=0)+(LEN(M142)=0)+(LEN(O142)=0)+(LEN(R142)=0)+(LEN(X142)=0)+(LEN(AI142)=0)+(LEN(AJ142)=0)+(LEN(AQ142)=0)+(LEN(AR142)=0)+(LEN(AT142)=0)+(LEN(AU142)=0)+(LEN(AV142)=0)+(LEN(AX142)=0))</f>
        <v/>
      </c>
      <c r="BB142" s="115">
        <f>IF($B142="","",IF(AND(BA142=0,AZ142&gt;=1),"Complete","Incomplete"))</f>
        <v/>
      </c>
    </row>
    <row r="143" ht="15" customHeight="1" s="62">
      <c r="A143" s="81" t="n"/>
      <c r="B143" s="113" t="n"/>
      <c r="C143" s="81" t="n"/>
      <c r="D143" s="81" t="n"/>
      <c r="E143" s="81" t="n"/>
      <c r="F143" s="81" t="n"/>
      <c r="G143" s="81" t="n"/>
      <c r="H143" s="81" t="n"/>
      <c r="I143" s="81" t="n"/>
      <c r="J143" s="81" t="n"/>
      <c r="K143" s="81" t="n"/>
      <c r="L143" s="113" t="n"/>
      <c r="M143" s="81" t="n"/>
      <c r="N143" s="81" t="n"/>
      <c r="O143" s="81" t="n"/>
      <c r="P143" s="81" t="n"/>
      <c r="Q143" s="113" t="n"/>
      <c r="R143" s="113" t="n"/>
      <c r="S143" s="113" t="n"/>
      <c r="T143" s="81" t="n"/>
      <c r="U143" s="81" t="n"/>
      <c r="V143" s="113" t="n"/>
      <c r="W143" s="81" t="n"/>
      <c r="X143" s="81" t="n"/>
      <c r="Y143" s="81" t="n"/>
      <c r="Z143" s="81" t="n"/>
      <c r="AA143" s="81" t="n"/>
      <c r="AB143" s="81" t="n"/>
      <c r="AC143" s="81" t="n"/>
      <c r="AD143" s="81" t="n"/>
      <c r="AE143" s="81" t="n"/>
      <c r="AF143" s="81" t="n"/>
      <c r="AG143" s="81" t="n"/>
      <c r="AH143" s="113" t="n"/>
      <c r="AI143" s="81" t="n"/>
      <c r="AJ143" s="81" t="n"/>
      <c r="AK143" s="113" t="n"/>
      <c r="AL143" s="81" t="n"/>
      <c r="AM143" s="81" t="n"/>
      <c r="AN143" s="81" t="n"/>
      <c r="AO143" s="113" t="n"/>
      <c r="AP143" s="113" t="n"/>
      <c r="AQ143" s="81" t="n"/>
      <c r="AR143" s="113" t="n"/>
      <c r="AS143" s="113" t="n"/>
      <c r="AT143" s="114" t="n"/>
      <c r="AU143" s="81" t="n"/>
      <c r="AV143" s="114" t="n"/>
      <c r="AW143" s="114" t="n"/>
      <c r="AX143" s="81" t="n"/>
      <c r="AY143" s="113" t="n"/>
      <c r="AZ143" s="115">
        <f>IF($B143="","",COUNTIF(References!$A$4:$A$503,$A143))</f>
        <v/>
      </c>
      <c r="BA143" s="115">
        <f>IF($B143="","",(LEN(A143)=0)+(LEN(B143)=0)+(LEN(D143)=0)+(LEN(G143)=0)+(LEN(H143)=0)+(LEN(I143)=0)+(LEN(J143)=0)+(LEN(L143)=0)+(LEN(M143)=0)+(LEN(O143)=0)+(LEN(R143)=0)+(LEN(X143)=0)+(LEN(AI143)=0)+(LEN(AJ143)=0)+(LEN(AQ143)=0)+(LEN(AR143)=0)+(LEN(AT143)=0)+(LEN(AU143)=0)+(LEN(AV143)=0)+(LEN(AX143)=0))</f>
        <v/>
      </c>
      <c r="BB143" s="115">
        <f>IF($B143="","",IF(AND(BA143=0,AZ143&gt;=1),"Complete","Incomplete"))</f>
        <v/>
      </c>
    </row>
    <row r="144" ht="15" customHeight="1" s="62">
      <c r="A144" s="81" t="n"/>
      <c r="B144" s="113" t="n"/>
      <c r="C144" s="81" t="n"/>
      <c r="D144" s="81" t="n"/>
      <c r="E144" s="81" t="n"/>
      <c r="F144" s="81" t="n"/>
      <c r="G144" s="81" t="n"/>
      <c r="H144" s="81" t="n"/>
      <c r="I144" s="81" t="n"/>
      <c r="J144" s="81" t="n"/>
      <c r="K144" s="81" t="n"/>
      <c r="L144" s="113" t="n"/>
      <c r="M144" s="81" t="n"/>
      <c r="N144" s="81" t="n"/>
      <c r="O144" s="81" t="n"/>
      <c r="P144" s="81" t="n"/>
      <c r="Q144" s="113" t="n"/>
      <c r="R144" s="113" t="n"/>
      <c r="S144" s="113" t="n"/>
      <c r="T144" s="81" t="n"/>
      <c r="U144" s="81" t="n"/>
      <c r="V144" s="113" t="n"/>
      <c r="W144" s="81" t="n"/>
      <c r="X144" s="81" t="n"/>
      <c r="Y144" s="81" t="n"/>
      <c r="Z144" s="81" t="n"/>
      <c r="AA144" s="81" t="n"/>
      <c r="AB144" s="81" t="n"/>
      <c r="AC144" s="81" t="n"/>
      <c r="AD144" s="81" t="n"/>
      <c r="AE144" s="81" t="n"/>
      <c r="AF144" s="81" t="n"/>
      <c r="AG144" s="81" t="n"/>
      <c r="AH144" s="113" t="n"/>
      <c r="AI144" s="81" t="n"/>
      <c r="AJ144" s="81" t="n"/>
      <c r="AK144" s="113" t="n"/>
      <c r="AL144" s="81" t="n"/>
      <c r="AM144" s="81" t="n"/>
      <c r="AN144" s="81" t="n"/>
      <c r="AO144" s="113" t="n"/>
      <c r="AP144" s="113" t="n"/>
      <c r="AQ144" s="81" t="n"/>
      <c r="AR144" s="113" t="n"/>
      <c r="AS144" s="113" t="n"/>
      <c r="AT144" s="114" t="n"/>
      <c r="AU144" s="81" t="n"/>
      <c r="AV144" s="114" t="n"/>
      <c r="AW144" s="114" t="n"/>
      <c r="AX144" s="81" t="n"/>
      <c r="AY144" s="113" t="n"/>
      <c r="AZ144" s="115">
        <f>IF($B144="","",COUNTIF(References!$A$4:$A$503,$A144))</f>
        <v/>
      </c>
      <c r="BA144" s="115">
        <f>IF($B144="","",(LEN(A144)=0)+(LEN(B144)=0)+(LEN(D144)=0)+(LEN(G144)=0)+(LEN(H144)=0)+(LEN(I144)=0)+(LEN(J144)=0)+(LEN(L144)=0)+(LEN(M144)=0)+(LEN(O144)=0)+(LEN(R144)=0)+(LEN(X144)=0)+(LEN(AI144)=0)+(LEN(AJ144)=0)+(LEN(AQ144)=0)+(LEN(AR144)=0)+(LEN(AT144)=0)+(LEN(AU144)=0)+(LEN(AV144)=0)+(LEN(AX144)=0))</f>
        <v/>
      </c>
      <c r="BB144" s="115">
        <f>IF($B144="","",IF(AND(BA144=0,AZ144&gt;=1),"Complete","Incomplete"))</f>
        <v/>
      </c>
    </row>
    <row r="145" ht="15" customHeight="1" s="62">
      <c r="A145" s="81" t="n"/>
      <c r="B145" s="113" t="n"/>
      <c r="C145" s="81" t="n"/>
      <c r="D145" s="81" t="n"/>
      <c r="E145" s="81" t="n"/>
      <c r="F145" s="81" t="n"/>
      <c r="G145" s="81" t="n"/>
      <c r="H145" s="81" t="n"/>
      <c r="I145" s="81" t="n"/>
      <c r="J145" s="81" t="n"/>
      <c r="K145" s="81" t="n"/>
      <c r="L145" s="113" t="n"/>
      <c r="M145" s="81" t="n"/>
      <c r="N145" s="81" t="n"/>
      <c r="O145" s="81" t="n"/>
      <c r="P145" s="81" t="n"/>
      <c r="Q145" s="113" t="n"/>
      <c r="R145" s="113" t="n"/>
      <c r="S145" s="113" t="n"/>
      <c r="T145" s="81" t="n"/>
      <c r="U145" s="81" t="n"/>
      <c r="V145" s="113" t="n"/>
      <c r="W145" s="81" t="n"/>
      <c r="X145" s="81" t="n"/>
      <c r="Y145" s="81" t="n"/>
      <c r="Z145" s="81" t="n"/>
      <c r="AA145" s="81" t="n"/>
      <c r="AB145" s="81" t="n"/>
      <c r="AC145" s="81" t="n"/>
      <c r="AD145" s="81" t="n"/>
      <c r="AE145" s="81" t="n"/>
      <c r="AF145" s="81" t="n"/>
      <c r="AG145" s="81" t="n"/>
      <c r="AH145" s="113" t="n"/>
      <c r="AI145" s="81" t="n"/>
      <c r="AJ145" s="81" t="n"/>
      <c r="AK145" s="113" t="n"/>
      <c r="AL145" s="81" t="n"/>
      <c r="AM145" s="81" t="n"/>
      <c r="AN145" s="81" t="n"/>
      <c r="AO145" s="113" t="n"/>
      <c r="AP145" s="113" t="n"/>
      <c r="AQ145" s="81" t="n"/>
      <c r="AR145" s="113" t="n"/>
      <c r="AS145" s="113" t="n"/>
      <c r="AT145" s="114" t="n"/>
      <c r="AU145" s="81" t="n"/>
      <c r="AV145" s="114" t="n"/>
      <c r="AW145" s="114" t="n"/>
      <c r="AX145" s="81" t="n"/>
      <c r="AY145" s="113" t="n"/>
      <c r="AZ145" s="115">
        <f>IF($B145="","",COUNTIF(References!$A$4:$A$503,$A145))</f>
        <v/>
      </c>
      <c r="BA145" s="115">
        <f>IF($B145="","",(LEN(A145)=0)+(LEN(B145)=0)+(LEN(D145)=0)+(LEN(G145)=0)+(LEN(H145)=0)+(LEN(I145)=0)+(LEN(J145)=0)+(LEN(L145)=0)+(LEN(M145)=0)+(LEN(O145)=0)+(LEN(R145)=0)+(LEN(X145)=0)+(LEN(AI145)=0)+(LEN(AJ145)=0)+(LEN(AQ145)=0)+(LEN(AR145)=0)+(LEN(AT145)=0)+(LEN(AU145)=0)+(LEN(AV145)=0)+(LEN(AX145)=0))</f>
        <v/>
      </c>
      <c r="BB145" s="115">
        <f>IF($B145="","",IF(AND(BA145=0,AZ145&gt;=1),"Complete","Incomplete"))</f>
        <v/>
      </c>
    </row>
    <row r="146" ht="15" customHeight="1" s="62">
      <c r="A146" s="81" t="n"/>
      <c r="B146" s="113" t="n"/>
      <c r="C146" s="81" t="n"/>
      <c r="D146" s="81" t="n"/>
      <c r="E146" s="81" t="n"/>
      <c r="F146" s="81" t="n"/>
      <c r="G146" s="81" t="n"/>
      <c r="H146" s="81" t="n"/>
      <c r="I146" s="81" t="n"/>
      <c r="J146" s="81" t="n"/>
      <c r="K146" s="81" t="n"/>
      <c r="L146" s="113" t="n"/>
      <c r="M146" s="81" t="n"/>
      <c r="N146" s="81" t="n"/>
      <c r="O146" s="81" t="n"/>
      <c r="P146" s="81" t="n"/>
      <c r="Q146" s="113" t="n"/>
      <c r="R146" s="113" t="n"/>
      <c r="S146" s="113" t="n"/>
      <c r="T146" s="81" t="n"/>
      <c r="U146" s="81" t="n"/>
      <c r="V146" s="113" t="n"/>
      <c r="W146" s="81" t="n"/>
      <c r="X146" s="81" t="n"/>
      <c r="Y146" s="81" t="n"/>
      <c r="Z146" s="81" t="n"/>
      <c r="AA146" s="81" t="n"/>
      <c r="AB146" s="81" t="n"/>
      <c r="AC146" s="81" t="n"/>
      <c r="AD146" s="81" t="n"/>
      <c r="AE146" s="81" t="n"/>
      <c r="AF146" s="81" t="n"/>
      <c r="AG146" s="81" t="n"/>
      <c r="AH146" s="113" t="n"/>
      <c r="AI146" s="81" t="n"/>
      <c r="AJ146" s="81" t="n"/>
      <c r="AK146" s="113" t="n"/>
      <c r="AL146" s="81" t="n"/>
      <c r="AM146" s="81" t="n"/>
      <c r="AN146" s="81" t="n"/>
      <c r="AO146" s="113" t="n"/>
      <c r="AP146" s="113" t="n"/>
      <c r="AQ146" s="81" t="n"/>
      <c r="AR146" s="113" t="n"/>
      <c r="AS146" s="113" t="n"/>
      <c r="AT146" s="114" t="n"/>
      <c r="AU146" s="81" t="n"/>
      <c r="AV146" s="114" t="n"/>
      <c r="AW146" s="114" t="n"/>
      <c r="AX146" s="81" t="n"/>
      <c r="AY146" s="113" t="n"/>
      <c r="AZ146" s="115">
        <f>IF($B146="","",COUNTIF(References!$A$4:$A$503,$A146))</f>
        <v/>
      </c>
      <c r="BA146" s="115">
        <f>IF($B146="","",(LEN(A146)=0)+(LEN(B146)=0)+(LEN(D146)=0)+(LEN(G146)=0)+(LEN(H146)=0)+(LEN(I146)=0)+(LEN(J146)=0)+(LEN(L146)=0)+(LEN(M146)=0)+(LEN(O146)=0)+(LEN(R146)=0)+(LEN(X146)=0)+(LEN(AI146)=0)+(LEN(AJ146)=0)+(LEN(AQ146)=0)+(LEN(AR146)=0)+(LEN(AT146)=0)+(LEN(AU146)=0)+(LEN(AV146)=0)+(LEN(AX146)=0))</f>
        <v/>
      </c>
      <c r="BB146" s="115">
        <f>IF($B146="","",IF(AND(BA146=0,AZ146&gt;=1),"Complete","Incomplete"))</f>
        <v/>
      </c>
    </row>
    <row r="147" ht="15" customHeight="1" s="62">
      <c r="A147" s="81" t="n"/>
      <c r="B147" s="113" t="n"/>
      <c r="C147" s="81" t="n"/>
      <c r="D147" s="81" t="n"/>
      <c r="E147" s="81" t="n"/>
      <c r="F147" s="81" t="n"/>
      <c r="G147" s="81" t="n"/>
      <c r="H147" s="81" t="n"/>
      <c r="I147" s="81" t="n"/>
      <c r="J147" s="81" t="n"/>
      <c r="K147" s="81" t="n"/>
      <c r="L147" s="113" t="n"/>
      <c r="M147" s="81" t="n"/>
      <c r="N147" s="81" t="n"/>
      <c r="O147" s="81" t="n"/>
      <c r="P147" s="81" t="n"/>
      <c r="Q147" s="113" t="n"/>
      <c r="R147" s="113" t="n"/>
      <c r="S147" s="113" t="n"/>
      <c r="T147" s="81" t="n"/>
      <c r="U147" s="81" t="n"/>
      <c r="V147" s="113" t="n"/>
      <c r="W147" s="81" t="n"/>
      <c r="X147" s="81" t="n"/>
      <c r="Y147" s="81" t="n"/>
      <c r="Z147" s="81" t="n"/>
      <c r="AA147" s="81" t="n"/>
      <c r="AB147" s="81" t="n"/>
      <c r="AC147" s="81" t="n"/>
      <c r="AD147" s="81" t="n"/>
      <c r="AE147" s="81" t="n"/>
      <c r="AF147" s="81" t="n"/>
      <c r="AG147" s="81" t="n"/>
      <c r="AH147" s="113" t="n"/>
      <c r="AI147" s="81" t="n"/>
      <c r="AJ147" s="81" t="n"/>
      <c r="AK147" s="113" t="n"/>
      <c r="AL147" s="81" t="n"/>
      <c r="AM147" s="81" t="n"/>
      <c r="AN147" s="81" t="n"/>
      <c r="AO147" s="113" t="n"/>
      <c r="AP147" s="113" t="n"/>
      <c r="AQ147" s="81" t="n"/>
      <c r="AR147" s="113" t="n"/>
      <c r="AS147" s="113" t="n"/>
      <c r="AT147" s="114" t="n"/>
      <c r="AU147" s="81" t="n"/>
      <c r="AV147" s="114" t="n"/>
      <c r="AW147" s="114" t="n"/>
      <c r="AX147" s="81" t="n"/>
      <c r="AY147" s="113" t="n"/>
      <c r="AZ147" s="115">
        <f>IF($B147="","",COUNTIF(References!$A$4:$A$503,$A147))</f>
        <v/>
      </c>
      <c r="BA147" s="115">
        <f>IF($B147="","",(LEN(A147)=0)+(LEN(B147)=0)+(LEN(D147)=0)+(LEN(G147)=0)+(LEN(H147)=0)+(LEN(I147)=0)+(LEN(J147)=0)+(LEN(L147)=0)+(LEN(M147)=0)+(LEN(O147)=0)+(LEN(R147)=0)+(LEN(X147)=0)+(LEN(AI147)=0)+(LEN(AJ147)=0)+(LEN(AQ147)=0)+(LEN(AR147)=0)+(LEN(AT147)=0)+(LEN(AU147)=0)+(LEN(AV147)=0)+(LEN(AX147)=0))</f>
        <v/>
      </c>
      <c r="BB147" s="115">
        <f>IF($B147="","",IF(AND(BA147=0,AZ147&gt;=1),"Complete","Incomplete"))</f>
        <v/>
      </c>
    </row>
    <row r="148" ht="15" customHeight="1" s="62">
      <c r="A148" s="81" t="n"/>
      <c r="B148" s="113" t="n"/>
      <c r="C148" s="81" t="n"/>
      <c r="D148" s="81" t="n"/>
      <c r="E148" s="81" t="n"/>
      <c r="F148" s="81" t="n"/>
      <c r="G148" s="81" t="n"/>
      <c r="H148" s="81" t="n"/>
      <c r="I148" s="81" t="n"/>
      <c r="J148" s="81" t="n"/>
      <c r="K148" s="81" t="n"/>
      <c r="L148" s="113" t="n"/>
      <c r="M148" s="81" t="n"/>
      <c r="N148" s="81" t="n"/>
      <c r="O148" s="81" t="n"/>
      <c r="P148" s="81" t="n"/>
      <c r="Q148" s="113" t="n"/>
      <c r="R148" s="113" t="n"/>
      <c r="S148" s="113" t="n"/>
      <c r="T148" s="81" t="n"/>
      <c r="U148" s="81" t="n"/>
      <c r="V148" s="113" t="n"/>
      <c r="W148" s="81" t="n"/>
      <c r="X148" s="81" t="n"/>
      <c r="Y148" s="81" t="n"/>
      <c r="Z148" s="81" t="n"/>
      <c r="AA148" s="81" t="n"/>
      <c r="AB148" s="81" t="n"/>
      <c r="AC148" s="81" t="n"/>
      <c r="AD148" s="81" t="n"/>
      <c r="AE148" s="81" t="n"/>
      <c r="AF148" s="81" t="n"/>
      <c r="AG148" s="81" t="n"/>
      <c r="AH148" s="113" t="n"/>
      <c r="AI148" s="81" t="n"/>
      <c r="AJ148" s="81" t="n"/>
      <c r="AK148" s="113" t="n"/>
      <c r="AL148" s="81" t="n"/>
      <c r="AM148" s="81" t="n"/>
      <c r="AN148" s="81" t="n"/>
      <c r="AO148" s="113" t="n"/>
      <c r="AP148" s="113" t="n"/>
      <c r="AQ148" s="81" t="n"/>
      <c r="AR148" s="113" t="n"/>
      <c r="AS148" s="113" t="n"/>
      <c r="AT148" s="114" t="n"/>
      <c r="AU148" s="81" t="n"/>
      <c r="AV148" s="114" t="n"/>
      <c r="AW148" s="114" t="n"/>
      <c r="AX148" s="81" t="n"/>
      <c r="AY148" s="113" t="n"/>
      <c r="AZ148" s="115">
        <f>IF($B148="","",COUNTIF(References!$A$4:$A$503,$A148))</f>
        <v/>
      </c>
      <c r="BA148" s="115">
        <f>IF($B148="","",(LEN(A148)=0)+(LEN(B148)=0)+(LEN(D148)=0)+(LEN(G148)=0)+(LEN(H148)=0)+(LEN(I148)=0)+(LEN(J148)=0)+(LEN(L148)=0)+(LEN(M148)=0)+(LEN(O148)=0)+(LEN(R148)=0)+(LEN(X148)=0)+(LEN(AI148)=0)+(LEN(AJ148)=0)+(LEN(AQ148)=0)+(LEN(AR148)=0)+(LEN(AT148)=0)+(LEN(AU148)=0)+(LEN(AV148)=0)+(LEN(AX148)=0))</f>
        <v/>
      </c>
      <c r="BB148" s="115">
        <f>IF($B148="","",IF(AND(BA148=0,AZ148&gt;=1),"Complete","Incomplete"))</f>
        <v/>
      </c>
    </row>
    <row r="149" ht="15" customHeight="1" s="62">
      <c r="A149" s="81" t="n"/>
      <c r="B149" s="113" t="n"/>
      <c r="C149" s="81" t="n"/>
      <c r="D149" s="81" t="n"/>
      <c r="E149" s="81" t="n"/>
      <c r="F149" s="81" t="n"/>
      <c r="G149" s="81" t="n"/>
      <c r="H149" s="81" t="n"/>
      <c r="I149" s="81" t="n"/>
      <c r="J149" s="81" t="n"/>
      <c r="K149" s="81" t="n"/>
      <c r="L149" s="113" t="n"/>
      <c r="M149" s="81" t="n"/>
      <c r="N149" s="81" t="n"/>
      <c r="O149" s="81" t="n"/>
      <c r="P149" s="81" t="n"/>
      <c r="Q149" s="113" t="n"/>
      <c r="R149" s="113" t="n"/>
      <c r="S149" s="113" t="n"/>
      <c r="T149" s="81" t="n"/>
      <c r="U149" s="81" t="n"/>
      <c r="V149" s="113" t="n"/>
      <c r="W149" s="81" t="n"/>
      <c r="X149" s="81" t="n"/>
      <c r="Y149" s="81" t="n"/>
      <c r="Z149" s="81" t="n"/>
      <c r="AA149" s="81" t="n"/>
      <c r="AB149" s="81" t="n"/>
      <c r="AC149" s="81" t="n"/>
      <c r="AD149" s="81" t="n"/>
      <c r="AE149" s="81" t="n"/>
      <c r="AF149" s="81" t="n"/>
      <c r="AG149" s="81" t="n"/>
      <c r="AH149" s="113" t="n"/>
      <c r="AI149" s="81" t="n"/>
      <c r="AJ149" s="81" t="n"/>
      <c r="AK149" s="113" t="n"/>
      <c r="AL149" s="81" t="n"/>
      <c r="AM149" s="81" t="n"/>
      <c r="AN149" s="81" t="n"/>
      <c r="AO149" s="113" t="n"/>
      <c r="AP149" s="113" t="n"/>
      <c r="AQ149" s="81" t="n"/>
      <c r="AR149" s="113" t="n"/>
      <c r="AS149" s="113" t="n"/>
      <c r="AT149" s="114" t="n"/>
      <c r="AU149" s="81" t="n"/>
      <c r="AV149" s="114" t="n"/>
      <c r="AW149" s="114" t="n"/>
      <c r="AX149" s="81" t="n"/>
      <c r="AY149" s="113" t="n"/>
      <c r="AZ149" s="115">
        <f>IF($B149="","",COUNTIF(References!$A$4:$A$503,$A149))</f>
        <v/>
      </c>
      <c r="BA149" s="115">
        <f>IF($B149="","",(LEN(A149)=0)+(LEN(B149)=0)+(LEN(D149)=0)+(LEN(G149)=0)+(LEN(H149)=0)+(LEN(I149)=0)+(LEN(J149)=0)+(LEN(L149)=0)+(LEN(M149)=0)+(LEN(O149)=0)+(LEN(R149)=0)+(LEN(X149)=0)+(LEN(AI149)=0)+(LEN(AJ149)=0)+(LEN(AQ149)=0)+(LEN(AR149)=0)+(LEN(AT149)=0)+(LEN(AU149)=0)+(LEN(AV149)=0)+(LEN(AX149)=0))</f>
        <v/>
      </c>
      <c r="BB149" s="115">
        <f>IF($B149="","",IF(AND(BA149=0,AZ149&gt;=1),"Complete","Incomplete"))</f>
        <v/>
      </c>
    </row>
    <row r="150" ht="15" customHeight="1" s="62">
      <c r="A150" s="81" t="n"/>
      <c r="B150" s="113" t="n"/>
      <c r="C150" s="81" t="n"/>
      <c r="D150" s="81" t="n"/>
      <c r="E150" s="81" t="n"/>
      <c r="F150" s="81" t="n"/>
      <c r="G150" s="81" t="n"/>
      <c r="H150" s="81" t="n"/>
      <c r="I150" s="81" t="n"/>
      <c r="J150" s="81" t="n"/>
      <c r="K150" s="81" t="n"/>
      <c r="L150" s="113" t="n"/>
      <c r="M150" s="81" t="n"/>
      <c r="N150" s="81" t="n"/>
      <c r="O150" s="81" t="n"/>
      <c r="P150" s="81" t="n"/>
      <c r="Q150" s="113" t="n"/>
      <c r="R150" s="113" t="n"/>
      <c r="S150" s="113" t="n"/>
      <c r="T150" s="81" t="n"/>
      <c r="U150" s="81" t="n"/>
      <c r="V150" s="113" t="n"/>
      <c r="W150" s="81" t="n"/>
      <c r="X150" s="81" t="n"/>
      <c r="Y150" s="81" t="n"/>
      <c r="Z150" s="81" t="n"/>
      <c r="AA150" s="81" t="n"/>
      <c r="AB150" s="81" t="n"/>
      <c r="AC150" s="81" t="n"/>
      <c r="AD150" s="81" t="n"/>
      <c r="AE150" s="81" t="n"/>
      <c r="AF150" s="81" t="n"/>
      <c r="AG150" s="81" t="n"/>
      <c r="AH150" s="113" t="n"/>
      <c r="AI150" s="81" t="n"/>
      <c r="AJ150" s="81" t="n"/>
      <c r="AK150" s="113" t="n"/>
      <c r="AL150" s="81" t="n"/>
      <c r="AM150" s="81" t="n"/>
      <c r="AN150" s="81" t="n"/>
      <c r="AO150" s="113" t="n"/>
      <c r="AP150" s="113" t="n"/>
      <c r="AQ150" s="81" t="n"/>
      <c r="AR150" s="113" t="n"/>
      <c r="AS150" s="113" t="n"/>
      <c r="AT150" s="114" t="n"/>
      <c r="AU150" s="81" t="n"/>
      <c r="AV150" s="114" t="n"/>
      <c r="AW150" s="114" t="n"/>
      <c r="AX150" s="81" t="n"/>
      <c r="AY150" s="113" t="n"/>
      <c r="AZ150" s="115">
        <f>IF($B150="","",COUNTIF(References!$A$4:$A$503,$A150))</f>
        <v/>
      </c>
      <c r="BA150" s="115">
        <f>IF($B150="","",(LEN(A150)=0)+(LEN(B150)=0)+(LEN(D150)=0)+(LEN(G150)=0)+(LEN(H150)=0)+(LEN(I150)=0)+(LEN(J150)=0)+(LEN(L150)=0)+(LEN(M150)=0)+(LEN(O150)=0)+(LEN(R150)=0)+(LEN(X150)=0)+(LEN(AI150)=0)+(LEN(AJ150)=0)+(LEN(AQ150)=0)+(LEN(AR150)=0)+(LEN(AT150)=0)+(LEN(AU150)=0)+(LEN(AV150)=0)+(LEN(AX150)=0))</f>
        <v/>
      </c>
      <c r="BB150" s="115">
        <f>IF($B150="","",IF(AND(BA150=0,AZ150&gt;=1),"Complete","Incomplete"))</f>
        <v/>
      </c>
    </row>
    <row r="151" ht="15" customHeight="1" s="62">
      <c r="A151" s="81" t="n"/>
      <c r="B151" s="113" t="n"/>
      <c r="C151" s="81" t="n"/>
      <c r="D151" s="81" t="n"/>
      <c r="E151" s="81" t="n"/>
      <c r="F151" s="81" t="n"/>
      <c r="G151" s="81" t="n"/>
      <c r="H151" s="81" t="n"/>
      <c r="I151" s="81" t="n"/>
      <c r="J151" s="81" t="n"/>
      <c r="K151" s="81" t="n"/>
      <c r="L151" s="113" t="n"/>
      <c r="M151" s="81" t="n"/>
      <c r="N151" s="81" t="n"/>
      <c r="O151" s="81" t="n"/>
      <c r="P151" s="81" t="n"/>
      <c r="Q151" s="113" t="n"/>
      <c r="R151" s="113" t="n"/>
      <c r="S151" s="113" t="n"/>
      <c r="T151" s="81" t="n"/>
      <c r="U151" s="81" t="n"/>
      <c r="V151" s="113" t="n"/>
      <c r="W151" s="81" t="n"/>
      <c r="X151" s="81" t="n"/>
      <c r="Y151" s="81" t="n"/>
      <c r="Z151" s="81" t="n"/>
      <c r="AA151" s="81" t="n"/>
      <c r="AB151" s="81" t="n"/>
      <c r="AC151" s="81" t="n"/>
      <c r="AD151" s="81" t="n"/>
      <c r="AE151" s="81" t="n"/>
      <c r="AF151" s="81" t="n"/>
      <c r="AG151" s="81" t="n"/>
      <c r="AH151" s="113" t="n"/>
      <c r="AI151" s="81" t="n"/>
      <c r="AJ151" s="81" t="n"/>
      <c r="AK151" s="113" t="n"/>
      <c r="AL151" s="81" t="n"/>
      <c r="AM151" s="81" t="n"/>
      <c r="AN151" s="81" t="n"/>
      <c r="AO151" s="113" t="n"/>
      <c r="AP151" s="113" t="n"/>
      <c r="AQ151" s="81" t="n"/>
      <c r="AR151" s="113" t="n"/>
      <c r="AS151" s="113" t="n"/>
      <c r="AT151" s="114" t="n"/>
      <c r="AU151" s="81" t="n"/>
      <c r="AV151" s="114" t="n"/>
      <c r="AW151" s="114" t="n"/>
      <c r="AX151" s="81" t="n"/>
      <c r="AY151" s="113" t="n"/>
      <c r="AZ151" s="115">
        <f>IF($B151="","",COUNTIF(References!$A$4:$A$503,$A151))</f>
        <v/>
      </c>
      <c r="BA151" s="115">
        <f>IF($B151="","",(LEN(A151)=0)+(LEN(B151)=0)+(LEN(D151)=0)+(LEN(G151)=0)+(LEN(H151)=0)+(LEN(I151)=0)+(LEN(J151)=0)+(LEN(L151)=0)+(LEN(M151)=0)+(LEN(O151)=0)+(LEN(R151)=0)+(LEN(X151)=0)+(LEN(AI151)=0)+(LEN(AJ151)=0)+(LEN(AQ151)=0)+(LEN(AR151)=0)+(LEN(AT151)=0)+(LEN(AU151)=0)+(LEN(AV151)=0)+(LEN(AX151)=0))</f>
        <v/>
      </c>
      <c r="BB151" s="115">
        <f>IF($B151="","",IF(AND(BA151=0,AZ151&gt;=1),"Complete","Incomplete"))</f>
        <v/>
      </c>
    </row>
    <row r="152" ht="15" customHeight="1" s="62">
      <c r="A152" s="81" t="n"/>
      <c r="B152" s="113" t="n"/>
      <c r="C152" s="81" t="n"/>
      <c r="D152" s="81" t="n"/>
      <c r="E152" s="81" t="n"/>
      <c r="F152" s="81" t="n"/>
      <c r="G152" s="81" t="n"/>
      <c r="H152" s="81" t="n"/>
      <c r="I152" s="81" t="n"/>
      <c r="J152" s="81" t="n"/>
      <c r="K152" s="81" t="n"/>
      <c r="L152" s="113" t="n"/>
      <c r="M152" s="81" t="n"/>
      <c r="N152" s="81" t="n"/>
      <c r="O152" s="81" t="n"/>
      <c r="P152" s="81" t="n"/>
      <c r="Q152" s="113" t="n"/>
      <c r="R152" s="113" t="n"/>
      <c r="S152" s="113" t="n"/>
      <c r="T152" s="81" t="n"/>
      <c r="U152" s="81" t="n"/>
      <c r="V152" s="113" t="n"/>
      <c r="W152" s="81" t="n"/>
      <c r="X152" s="81" t="n"/>
      <c r="Y152" s="81" t="n"/>
      <c r="Z152" s="81" t="n"/>
      <c r="AA152" s="81" t="n"/>
      <c r="AB152" s="81" t="n"/>
      <c r="AC152" s="81" t="n"/>
      <c r="AD152" s="81" t="n"/>
      <c r="AE152" s="81" t="n"/>
      <c r="AF152" s="81" t="n"/>
      <c r="AG152" s="81" t="n"/>
      <c r="AH152" s="113" t="n"/>
      <c r="AI152" s="81" t="n"/>
      <c r="AJ152" s="81" t="n"/>
      <c r="AK152" s="113" t="n"/>
      <c r="AL152" s="81" t="n"/>
      <c r="AM152" s="81" t="n"/>
      <c r="AN152" s="81" t="n"/>
      <c r="AO152" s="113" t="n"/>
      <c r="AP152" s="113" t="n"/>
      <c r="AQ152" s="81" t="n"/>
      <c r="AR152" s="113" t="n"/>
      <c r="AS152" s="113" t="n"/>
      <c r="AT152" s="114" t="n"/>
      <c r="AU152" s="81" t="n"/>
      <c r="AV152" s="114" t="n"/>
      <c r="AW152" s="114" t="n"/>
      <c r="AX152" s="81" t="n"/>
      <c r="AY152" s="113" t="n"/>
      <c r="AZ152" s="115">
        <f>IF($B152="","",COUNTIF(References!$A$4:$A$503,$A152))</f>
        <v/>
      </c>
      <c r="BA152" s="115">
        <f>IF($B152="","",(LEN(A152)=0)+(LEN(B152)=0)+(LEN(D152)=0)+(LEN(G152)=0)+(LEN(H152)=0)+(LEN(I152)=0)+(LEN(J152)=0)+(LEN(L152)=0)+(LEN(M152)=0)+(LEN(O152)=0)+(LEN(R152)=0)+(LEN(X152)=0)+(LEN(AI152)=0)+(LEN(AJ152)=0)+(LEN(AQ152)=0)+(LEN(AR152)=0)+(LEN(AT152)=0)+(LEN(AU152)=0)+(LEN(AV152)=0)+(LEN(AX152)=0))</f>
        <v/>
      </c>
      <c r="BB152" s="115">
        <f>IF($B152="","",IF(AND(BA152=0,AZ152&gt;=1),"Complete","Incomplete"))</f>
        <v/>
      </c>
    </row>
    <row r="153" ht="15" customHeight="1" s="62">
      <c r="A153" s="81" t="n"/>
      <c r="B153" s="113" t="n"/>
      <c r="C153" s="81" t="n"/>
      <c r="D153" s="81" t="n"/>
      <c r="E153" s="81" t="n"/>
      <c r="F153" s="81" t="n"/>
      <c r="G153" s="81" t="n"/>
      <c r="H153" s="81" t="n"/>
      <c r="I153" s="81" t="n"/>
      <c r="J153" s="81" t="n"/>
      <c r="K153" s="81" t="n"/>
      <c r="L153" s="113" t="n"/>
      <c r="M153" s="81" t="n"/>
      <c r="N153" s="81" t="n"/>
      <c r="O153" s="81" t="n"/>
      <c r="P153" s="81" t="n"/>
      <c r="Q153" s="113" t="n"/>
      <c r="R153" s="113" t="n"/>
      <c r="S153" s="113" t="n"/>
      <c r="T153" s="81" t="n"/>
      <c r="U153" s="81" t="n"/>
      <c r="V153" s="113" t="n"/>
      <c r="W153" s="81" t="n"/>
      <c r="X153" s="81" t="n"/>
      <c r="Y153" s="81" t="n"/>
      <c r="Z153" s="81" t="n"/>
      <c r="AA153" s="81" t="n"/>
      <c r="AB153" s="81" t="n"/>
      <c r="AC153" s="81" t="n"/>
      <c r="AD153" s="81" t="n"/>
      <c r="AE153" s="81" t="n"/>
      <c r="AF153" s="81" t="n"/>
      <c r="AG153" s="81" t="n"/>
      <c r="AH153" s="113" t="n"/>
      <c r="AI153" s="81" t="n"/>
      <c r="AJ153" s="81" t="n"/>
      <c r="AK153" s="113" t="n"/>
      <c r="AL153" s="81" t="n"/>
      <c r="AM153" s="81" t="n"/>
      <c r="AN153" s="81" t="n"/>
      <c r="AO153" s="113" t="n"/>
      <c r="AP153" s="113" t="n"/>
      <c r="AQ153" s="81" t="n"/>
      <c r="AR153" s="113" t="n"/>
      <c r="AS153" s="113" t="n"/>
      <c r="AT153" s="114" t="n"/>
      <c r="AU153" s="81" t="n"/>
      <c r="AV153" s="114" t="n"/>
      <c r="AW153" s="114" t="n"/>
      <c r="AX153" s="81" t="n"/>
      <c r="AY153" s="113" t="n"/>
      <c r="AZ153" s="115">
        <f>IF($B153="","",COUNTIF(References!$A$4:$A$503,$A153))</f>
        <v/>
      </c>
      <c r="BA153" s="115">
        <f>IF($B153="","",(LEN(A153)=0)+(LEN(B153)=0)+(LEN(D153)=0)+(LEN(G153)=0)+(LEN(H153)=0)+(LEN(I153)=0)+(LEN(J153)=0)+(LEN(L153)=0)+(LEN(M153)=0)+(LEN(O153)=0)+(LEN(R153)=0)+(LEN(X153)=0)+(LEN(AI153)=0)+(LEN(AJ153)=0)+(LEN(AQ153)=0)+(LEN(AR153)=0)+(LEN(AT153)=0)+(LEN(AU153)=0)+(LEN(AV153)=0)+(LEN(AX153)=0))</f>
        <v/>
      </c>
      <c r="BB153" s="115">
        <f>IF($B153="","",IF(AND(BA153=0,AZ153&gt;=1),"Complete","Incomplete"))</f>
        <v/>
      </c>
    </row>
    <row r="154" ht="15" customHeight="1" s="62">
      <c r="A154" s="81" t="n"/>
      <c r="B154" s="113" t="n"/>
      <c r="C154" s="81" t="n"/>
      <c r="D154" s="81" t="n"/>
      <c r="E154" s="81" t="n"/>
      <c r="F154" s="81" t="n"/>
      <c r="G154" s="81" t="n"/>
      <c r="H154" s="81" t="n"/>
      <c r="I154" s="81" t="n"/>
      <c r="J154" s="81" t="n"/>
      <c r="K154" s="81" t="n"/>
      <c r="L154" s="113" t="n"/>
      <c r="M154" s="81" t="n"/>
      <c r="N154" s="81" t="n"/>
      <c r="O154" s="81" t="n"/>
      <c r="P154" s="81" t="n"/>
      <c r="Q154" s="113" t="n"/>
      <c r="R154" s="113" t="n"/>
      <c r="S154" s="113" t="n"/>
      <c r="T154" s="81" t="n"/>
      <c r="U154" s="81" t="n"/>
      <c r="V154" s="113" t="n"/>
      <c r="W154" s="81" t="n"/>
      <c r="X154" s="81" t="n"/>
      <c r="Y154" s="81" t="n"/>
      <c r="Z154" s="81" t="n"/>
      <c r="AA154" s="81" t="n"/>
      <c r="AB154" s="81" t="n"/>
      <c r="AC154" s="81" t="n"/>
      <c r="AD154" s="81" t="n"/>
      <c r="AE154" s="81" t="n"/>
      <c r="AF154" s="81" t="n"/>
      <c r="AG154" s="81" t="n"/>
      <c r="AH154" s="113" t="n"/>
      <c r="AI154" s="81" t="n"/>
      <c r="AJ154" s="81" t="n"/>
      <c r="AK154" s="113" t="n"/>
      <c r="AL154" s="81" t="n"/>
      <c r="AM154" s="81" t="n"/>
      <c r="AN154" s="81" t="n"/>
      <c r="AO154" s="113" t="n"/>
      <c r="AP154" s="113" t="n"/>
      <c r="AQ154" s="81" t="n"/>
      <c r="AR154" s="113" t="n"/>
      <c r="AS154" s="113" t="n"/>
      <c r="AT154" s="114" t="n"/>
      <c r="AU154" s="81" t="n"/>
      <c r="AV154" s="114" t="n"/>
      <c r="AW154" s="114" t="n"/>
      <c r="AX154" s="81" t="n"/>
      <c r="AY154" s="113" t="n"/>
      <c r="AZ154" s="115">
        <f>IF($B154="","",COUNTIF(References!$A$4:$A$503,$A154))</f>
        <v/>
      </c>
      <c r="BA154" s="115">
        <f>IF($B154="","",(LEN(A154)=0)+(LEN(B154)=0)+(LEN(D154)=0)+(LEN(G154)=0)+(LEN(H154)=0)+(LEN(I154)=0)+(LEN(J154)=0)+(LEN(L154)=0)+(LEN(M154)=0)+(LEN(O154)=0)+(LEN(R154)=0)+(LEN(X154)=0)+(LEN(AI154)=0)+(LEN(AJ154)=0)+(LEN(AQ154)=0)+(LEN(AR154)=0)+(LEN(AT154)=0)+(LEN(AU154)=0)+(LEN(AV154)=0)+(LEN(AX154)=0))</f>
        <v/>
      </c>
      <c r="BB154" s="115">
        <f>IF($B154="","",IF(AND(BA154=0,AZ154&gt;=1),"Complete","Incomplete"))</f>
        <v/>
      </c>
    </row>
    <row r="155" ht="15" customHeight="1" s="62">
      <c r="A155" s="81" t="n"/>
      <c r="B155" s="113" t="n"/>
      <c r="C155" s="81" t="n"/>
      <c r="D155" s="81" t="n"/>
      <c r="E155" s="81" t="n"/>
      <c r="F155" s="81" t="n"/>
      <c r="G155" s="81" t="n"/>
      <c r="H155" s="81" t="n"/>
      <c r="I155" s="81" t="n"/>
      <c r="J155" s="81" t="n"/>
      <c r="K155" s="81" t="n"/>
      <c r="L155" s="113" t="n"/>
      <c r="M155" s="81" t="n"/>
      <c r="N155" s="81" t="n"/>
      <c r="O155" s="81" t="n"/>
      <c r="P155" s="81" t="n"/>
      <c r="Q155" s="113" t="n"/>
      <c r="R155" s="113" t="n"/>
      <c r="S155" s="113" t="n"/>
      <c r="T155" s="81" t="n"/>
      <c r="U155" s="81" t="n"/>
      <c r="V155" s="113" t="n"/>
      <c r="W155" s="81" t="n"/>
      <c r="X155" s="81" t="n"/>
      <c r="Y155" s="81" t="n"/>
      <c r="Z155" s="81" t="n"/>
      <c r="AA155" s="81" t="n"/>
      <c r="AB155" s="81" t="n"/>
      <c r="AC155" s="81" t="n"/>
      <c r="AD155" s="81" t="n"/>
      <c r="AE155" s="81" t="n"/>
      <c r="AF155" s="81" t="n"/>
      <c r="AG155" s="81" t="n"/>
      <c r="AH155" s="113" t="n"/>
      <c r="AI155" s="81" t="n"/>
      <c r="AJ155" s="81" t="n"/>
      <c r="AK155" s="113" t="n"/>
      <c r="AL155" s="81" t="n"/>
      <c r="AM155" s="81" t="n"/>
      <c r="AN155" s="81" t="n"/>
      <c r="AO155" s="113" t="n"/>
      <c r="AP155" s="113" t="n"/>
      <c r="AQ155" s="81" t="n"/>
      <c r="AR155" s="113" t="n"/>
      <c r="AS155" s="113" t="n"/>
      <c r="AT155" s="114" t="n"/>
      <c r="AU155" s="81" t="n"/>
      <c r="AV155" s="114" t="n"/>
      <c r="AW155" s="114" t="n"/>
      <c r="AX155" s="81" t="n"/>
      <c r="AY155" s="113" t="n"/>
      <c r="AZ155" s="115">
        <f>IF($B155="","",COUNTIF(References!$A$4:$A$503,$A155))</f>
        <v/>
      </c>
      <c r="BA155" s="115">
        <f>IF($B155="","",(LEN(A155)=0)+(LEN(B155)=0)+(LEN(D155)=0)+(LEN(G155)=0)+(LEN(H155)=0)+(LEN(I155)=0)+(LEN(J155)=0)+(LEN(L155)=0)+(LEN(M155)=0)+(LEN(O155)=0)+(LEN(R155)=0)+(LEN(X155)=0)+(LEN(AI155)=0)+(LEN(AJ155)=0)+(LEN(AQ155)=0)+(LEN(AR155)=0)+(LEN(AT155)=0)+(LEN(AU155)=0)+(LEN(AV155)=0)+(LEN(AX155)=0))</f>
        <v/>
      </c>
      <c r="BB155" s="115">
        <f>IF($B155="","",IF(AND(BA155=0,AZ155&gt;=1),"Complete","Incomplete"))</f>
        <v/>
      </c>
    </row>
    <row r="156" ht="15" customHeight="1" s="62">
      <c r="A156" s="81" t="n"/>
      <c r="B156" s="113" t="n"/>
      <c r="C156" s="81" t="n"/>
      <c r="D156" s="81" t="n"/>
      <c r="E156" s="81" t="n"/>
      <c r="F156" s="81" t="n"/>
      <c r="G156" s="81" t="n"/>
      <c r="H156" s="81" t="n"/>
      <c r="I156" s="81" t="n"/>
      <c r="J156" s="81" t="n"/>
      <c r="K156" s="81" t="n"/>
      <c r="L156" s="113" t="n"/>
      <c r="M156" s="81" t="n"/>
      <c r="N156" s="81" t="n"/>
      <c r="O156" s="81" t="n"/>
      <c r="P156" s="81" t="n"/>
      <c r="Q156" s="113" t="n"/>
      <c r="R156" s="113" t="n"/>
      <c r="S156" s="113" t="n"/>
      <c r="T156" s="81" t="n"/>
      <c r="U156" s="81" t="n"/>
      <c r="V156" s="113" t="n"/>
      <c r="W156" s="81" t="n"/>
      <c r="X156" s="81" t="n"/>
      <c r="Y156" s="81" t="n"/>
      <c r="Z156" s="81" t="n"/>
      <c r="AA156" s="81" t="n"/>
      <c r="AB156" s="81" t="n"/>
      <c r="AC156" s="81" t="n"/>
      <c r="AD156" s="81" t="n"/>
      <c r="AE156" s="81" t="n"/>
      <c r="AF156" s="81" t="n"/>
      <c r="AG156" s="81" t="n"/>
      <c r="AH156" s="113" t="n"/>
      <c r="AI156" s="81" t="n"/>
      <c r="AJ156" s="81" t="n"/>
      <c r="AK156" s="113" t="n"/>
      <c r="AL156" s="81" t="n"/>
      <c r="AM156" s="81" t="n"/>
      <c r="AN156" s="81" t="n"/>
      <c r="AO156" s="113" t="n"/>
      <c r="AP156" s="113" t="n"/>
      <c r="AQ156" s="81" t="n"/>
      <c r="AR156" s="113" t="n"/>
      <c r="AS156" s="113" t="n"/>
      <c r="AT156" s="114" t="n"/>
      <c r="AU156" s="81" t="n"/>
      <c r="AV156" s="114" t="n"/>
      <c r="AW156" s="114" t="n"/>
      <c r="AX156" s="81" t="n"/>
      <c r="AY156" s="113" t="n"/>
      <c r="AZ156" s="115">
        <f>IF($B156="","",COUNTIF(References!$A$4:$A$503,$A156))</f>
        <v/>
      </c>
      <c r="BA156" s="115">
        <f>IF($B156="","",(LEN(A156)=0)+(LEN(B156)=0)+(LEN(D156)=0)+(LEN(G156)=0)+(LEN(H156)=0)+(LEN(I156)=0)+(LEN(J156)=0)+(LEN(L156)=0)+(LEN(M156)=0)+(LEN(O156)=0)+(LEN(R156)=0)+(LEN(X156)=0)+(LEN(AI156)=0)+(LEN(AJ156)=0)+(LEN(AQ156)=0)+(LEN(AR156)=0)+(LEN(AT156)=0)+(LEN(AU156)=0)+(LEN(AV156)=0)+(LEN(AX156)=0))</f>
        <v/>
      </c>
      <c r="BB156" s="115">
        <f>IF($B156="","",IF(AND(BA156=0,AZ156&gt;=1),"Complete","Incomplete"))</f>
        <v/>
      </c>
    </row>
    <row r="157" ht="15" customHeight="1" s="62">
      <c r="A157" s="81" t="n"/>
      <c r="B157" s="113" t="n"/>
      <c r="C157" s="81" t="n"/>
      <c r="D157" s="81" t="n"/>
      <c r="E157" s="81" t="n"/>
      <c r="F157" s="81" t="n"/>
      <c r="G157" s="81" t="n"/>
      <c r="H157" s="81" t="n"/>
      <c r="I157" s="81" t="n"/>
      <c r="J157" s="81" t="n"/>
      <c r="K157" s="81" t="n"/>
      <c r="L157" s="113" t="n"/>
      <c r="M157" s="81" t="n"/>
      <c r="N157" s="81" t="n"/>
      <c r="O157" s="81" t="n"/>
      <c r="P157" s="81" t="n"/>
      <c r="Q157" s="113" t="n"/>
      <c r="R157" s="113" t="n"/>
      <c r="S157" s="113" t="n"/>
      <c r="T157" s="81" t="n"/>
      <c r="U157" s="81" t="n"/>
      <c r="V157" s="113" t="n"/>
      <c r="W157" s="81" t="n"/>
      <c r="X157" s="81" t="n"/>
      <c r="Y157" s="81" t="n"/>
      <c r="Z157" s="81" t="n"/>
      <c r="AA157" s="81" t="n"/>
      <c r="AB157" s="81" t="n"/>
      <c r="AC157" s="81" t="n"/>
      <c r="AD157" s="81" t="n"/>
      <c r="AE157" s="81" t="n"/>
      <c r="AF157" s="81" t="n"/>
      <c r="AG157" s="81" t="n"/>
      <c r="AH157" s="113" t="n"/>
      <c r="AI157" s="81" t="n"/>
      <c r="AJ157" s="81" t="n"/>
      <c r="AK157" s="113" t="n"/>
      <c r="AL157" s="81" t="n"/>
      <c r="AM157" s="81" t="n"/>
      <c r="AN157" s="81" t="n"/>
      <c r="AO157" s="113" t="n"/>
      <c r="AP157" s="113" t="n"/>
      <c r="AQ157" s="81" t="n"/>
      <c r="AR157" s="113" t="n"/>
      <c r="AS157" s="113" t="n"/>
      <c r="AT157" s="114" t="n"/>
      <c r="AU157" s="81" t="n"/>
      <c r="AV157" s="114" t="n"/>
      <c r="AW157" s="114" t="n"/>
      <c r="AX157" s="81" t="n"/>
      <c r="AY157" s="113" t="n"/>
      <c r="AZ157" s="115">
        <f>IF($B157="","",COUNTIF(References!$A$4:$A$503,$A157))</f>
        <v/>
      </c>
      <c r="BA157" s="115">
        <f>IF($B157="","",(LEN(A157)=0)+(LEN(B157)=0)+(LEN(D157)=0)+(LEN(G157)=0)+(LEN(H157)=0)+(LEN(I157)=0)+(LEN(J157)=0)+(LEN(L157)=0)+(LEN(M157)=0)+(LEN(O157)=0)+(LEN(R157)=0)+(LEN(X157)=0)+(LEN(AI157)=0)+(LEN(AJ157)=0)+(LEN(AQ157)=0)+(LEN(AR157)=0)+(LEN(AT157)=0)+(LEN(AU157)=0)+(LEN(AV157)=0)+(LEN(AX157)=0))</f>
        <v/>
      </c>
      <c r="BB157" s="115">
        <f>IF($B157="","",IF(AND(BA157=0,AZ157&gt;=1),"Complete","Incomplete"))</f>
        <v/>
      </c>
    </row>
    <row r="158" ht="15" customHeight="1" s="62">
      <c r="A158" s="81" t="n"/>
      <c r="B158" s="113" t="n"/>
      <c r="C158" s="81" t="n"/>
      <c r="D158" s="81" t="n"/>
      <c r="E158" s="81" t="n"/>
      <c r="F158" s="81" t="n"/>
      <c r="G158" s="81" t="n"/>
      <c r="H158" s="81" t="n"/>
      <c r="I158" s="81" t="n"/>
      <c r="J158" s="81" t="n"/>
      <c r="K158" s="81" t="n"/>
      <c r="L158" s="113" t="n"/>
      <c r="M158" s="81" t="n"/>
      <c r="N158" s="81" t="n"/>
      <c r="O158" s="81" t="n"/>
      <c r="P158" s="81" t="n"/>
      <c r="Q158" s="113" t="n"/>
      <c r="R158" s="113" t="n"/>
      <c r="S158" s="113" t="n"/>
      <c r="T158" s="81" t="n"/>
      <c r="U158" s="81" t="n"/>
      <c r="V158" s="113" t="n"/>
      <c r="W158" s="81" t="n"/>
      <c r="X158" s="81" t="n"/>
      <c r="Y158" s="81" t="n"/>
      <c r="Z158" s="81" t="n"/>
      <c r="AA158" s="81" t="n"/>
      <c r="AB158" s="81" t="n"/>
      <c r="AC158" s="81" t="n"/>
      <c r="AD158" s="81" t="n"/>
      <c r="AE158" s="81" t="n"/>
      <c r="AF158" s="81" t="n"/>
      <c r="AG158" s="81" t="n"/>
      <c r="AH158" s="113" t="n"/>
      <c r="AI158" s="81" t="n"/>
      <c r="AJ158" s="81" t="n"/>
      <c r="AK158" s="113" t="n"/>
      <c r="AL158" s="81" t="n"/>
      <c r="AM158" s="81" t="n"/>
      <c r="AN158" s="81" t="n"/>
      <c r="AO158" s="113" t="n"/>
      <c r="AP158" s="113" t="n"/>
      <c r="AQ158" s="81" t="n"/>
      <c r="AR158" s="113" t="n"/>
      <c r="AS158" s="113" t="n"/>
      <c r="AT158" s="114" t="n"/>
      <c r="AU158" s="81" t="n"/>
      <c r="AV158" s="114" t="n"/>
      <c r="AW158" s="114" t="n"/>
      <c r="AX158" s="81" t="n"/>
      <c r="AY158" s="113" t="n"/>
      <c r="AZ158" s="115">
        <f>IF($B158="","",COUNTIF(References!$A$4:$A$503,$A158))</f>
        <v/>
      </c>
      <c r="BA158" s="115">
        <f>IF($B158="","",(LEN(A158)=0)+(LEN(B158)=0)+(LEN(D158)=0)+(LEN(G158)=0)+(LEN(H158)=0)+(LEN(I158)=0)+(LEN(J158)=0)+(LEN(L158)=0)+(LEN(M158)=0)+(LEN(O158)=0)+(LEN(R158)=0)+(LEN(X158)=0)+(LEN(AI158)=0)+(LEN(AJ158)=0)+(LEN(AQ158)=0)+(LEN(AR158)=0)+(LEN(AT158)=0)+(LEN(AU158)=0)+(LEN(AV158)=0)+(LEN(AX158)=0))</f>
        <v/>
      </c>
      <c r="BB158" s="115">
        <f>IF($B158="","",IF(AND(BA158=0,AZ158&gt;=1),"Complete","Incomplete"))</f>
        <v/>
      </c>
    </row>
    <row r="159" ht="15" customHeight="1" s="62">
      <c r="A159" s="81" t="n"/>
      <c r="B159" s="113" t="n"/>
      <c r="C159" s="81" t="n"/>
      <c r="D159" s="81" t="n"/>
      <c r="E159" s="81" t="n"/>
      <c r="F159" s="81" t="n"/>
      <c r="G159" s="81" t="n"/>
      <c r="H159" s="81" t="n"/>
      <c r="I159" s="81" t="n"/>
      <c r="J159" s="81" t="n"/>
      <c r="K159" s="81" t="n"/>
      <c r="L159" s="113" t="n"/>
      <c r="M159" s="81" t="n"/>
      <c r="N159" s="81" t="n"/>
      <c r="O159" s="81" t="n"/>
      <c r="P159" s="81" t="n"/>
      <c r="Q159" s="113" t="n"/>
      <c r="R159" s="113" t="n"/>
      <c r="S159" s="113" t="n"/>
      <c r="T159" s="81" t="n"/>
      <c r="U159" s="81" t="n"/>
      <c r="V159" s="113" t="n"/>
      <c r="W159" s="81" t="n"/>
      <c r="X159" s="81" t="n"/>
      <c r="Y159" s="81" t="n"/>
      <c r="Z159" s="81" t="n"/>
      <c r="AA159" s="81" t="n"/>
      <c r="AB159" s="81" t="n"/>
      <c r="AC159" s="81" t="n"/>
      <c r="AD159" s="81" t="n"/>
      <c r="AE159" s="81" t="n"/>
      <c r="AF159" s="81" t="n"/>
      <c r="AG159" s="81" t="n"/>
      <c r="AH159" s="113" t="n"/>
      <c r="AI159" s="81" t="n"/>
      <c r="AJ159" s="81" t="n"/>
      <c r="AK159" s="113" t="n"/>
      <c r="AL159" s="81" t="n"/>
      <c r="AM159" s="81" t="n"/>
      <c r="AN159" s="81" t="n"/>
      <c r="AO159" s="113" t="n"/>
      <c r="AP159" s="113" t="n"/>
      <c r="AQ159" s="81" t="n"/>
      <c r="AR159" s="113" t="n"/>
      <c r="AS159" s="113" t="n"/>
      <c r="AT159" s="114" t="n"/>
      <c r="AU159" s="81" t="n"/>
      <c r="AV159" s="114" t="n"/>
      <c r="AW159" s="114" t="n"/>
      <c r="AX159" s="81" t="n"/>
      <c r="AY159" s="113" t="n"/>
      <c r="AZ159" s="115">
        <f>IF($B159="","",COUNTIF(References!$A$4:$A$503,$A159))</f>
        <v/>
      </c>
      <c r="BA159" s="115">
        <f>IF($B159="","",(LEN(A159)=0)+(LEN(B159)=0)+(LEN(D159)=0)+(LEN(G159)=0)+(LEN(H159)=0)+(LEN(I159)=0)+(LEN(J159)=0)+(LEN(L159)=0)+(LEN(M159)=0)+(LEN(O159)=0)+(LEN(R159)=0)+(LEN(X159)=0)+(LEN(AI159)=0)+(LEN(AJ159)=0)+(LEN(AQ159)=0)+(LEN(AR159)=0)+(LEN(AT159)=0)+(LEN(AU159)=0)+(LEN(AV159)=0)+(LEN(AX159)=0))</f>
        <v/>
      </c>
      <c r="BB159" s="115">
        <f>IF($B159="","",IF(AND(BA159=0,AZ159&gt;=1),"Complete","Incomplete"))</f>
        <v/>
      </c>
    </row>
    <row r="160" ht="15" customHeight="1" s="62">
      <c r="A160" s="81" t="n"/>
      <c r="B160" s="113" t="n"/>
      <c r="C160" s="81" t="n"/>
      <c r="D160" s="81" t="n"/>
      <c r="E160" s="81" t="n"/>
      <c r="F160" s="81" t="n"/>
      <c r="G160" s="81" t="n"/>
      <c r="H160" s="81" t="n"/>
      <c r="I160" s="81" t="n"/>
      <c r="J160" s="81" t="n"/>
      <c r="K160" s="81" t="n"/>
      <c r="L160" s="113" t="n"/>
      <c r="M160" s="81" t="n"/>
      <c r="N160" s="81" t="n"/>
      <c r="O160" s="81" t="n"/>
      <c r="P160" s="81" t="n"/>
      <c r="Q160" s="113" t="n"/>
      <c r="R160" s="113" t="n"/>
      <c r="S160" s="113" t="n"/>
      <c r="T160" s="81" t="n"/>
      <c r="U160" s="81" t="n"/>
      <c r="V160" s="113" t="n"/>
      <c r="W160" s="81" t="n"/>
      <c r="X160" s="81" t="n"/>
      <c r="Y160" s="81" t="n"/>
      <c r="Z160" s="81" t="n"/>
      <c r="AA160" s="81" t="n"/>
      <c r="AB160" s="81" t="n"/>
      <c r="AC160" s="81" t="n"/>
      <c r="AD160" s="81" t="n"/>
      <c r="AE160" s="81" t="n"/>
      <c r="AF160" s="81" t="n"/>
      <c r="AG160" s="81" t="n"/>
      <c r="AH160" s="113" t="n"/>
      <c r="AI160" s="81" t="n"/>
      <c r="AJ160" s="81" t="n"/>
      <c r="AK160" s="113" t="n"/>
      <c r="AL160" s="81" t="n"/>
      <c r="AM160" s="81" t="n"/>
      <c r="AN160" s="81" t="n"/>
      <c r="AO160" s="113" t="n"/>
      <c r="AP160" s="113" t="n"/>
      <c r="AQ160" s="81" t="n"/>
      <c r="AR160" s="113" t="n"/>
      <c r="AS160" s="113" t="n"/>
      <c r="AT160" s="114" t="n"/>
      <c r="AU160" s="81" t="n"/>
      <c r="AV160" s="114" t="n"/>
      <c r="AW160" s="114" t="n"/>
      <c r="AX160" s="81" t="n"/>
      <c r="AY160" s="113" t="n"/>
      <c r="AZ160" s="115">
        <f>IF($B160="","",COUNTIF(References!$A$4:$A$503,$A160))</f>
        <v/>
      </c>
      <c r="BA160" s="115">
        <f>IF($B160="","",(LEN(A160)=0)+(LEN(B160)=0)+(LEN(D160)=0)+(LEN(G160)=0)+(LEN(H160)=0)+(LEN(I160)=0)+(LEN(J160)=0)+(LEN(L160)=0)+(LEN(M160)=0)+(LEN(O160)=0)+(LEN(R160)=0)+(LEN(X160)=0)+(LEN(AI160)=0)+(LEN(AJ160)=0)+(LEN(AQ160)=0)+(LEN(AR160)=0)+(LEN(AT160)=0)+(LEN(AU160)=0)+(LEN(AV160)=0)+(LEN(AX160)=0))</f>
        <v/>
      </c>
      <c r="BB160" s="115">
        <f>IF($B160="","",IF(AND(BA160=0,AZ160&gt;=1),"Complete","Incomplete"))</f>
        <v/>
      </c>
    </row>
    <row r="161" ht="15" customHeight="1" s="62">
      <c r="A161" s="81" t="n"/>
      <c r="B161" s="113" t="n"/>
      <c r="C161" s="81" t="n"/>
      <c r="D161" s="81" t="n"/>
      <c r="E161" s="81" t="n"/>
      <c r="F161" s="81" t="n"/>
      <c r="G161" s="81" t="n"/>
      <c r="H161" s="81" t="n"/>
      <c r="I161" s="81" t="n"/>
      <c r="J161" s="81" t="n"/>
      <c r="K161" s="81" t="n"/>
      <c r="L161" s="113" t="n"/>
      <c r="M161" s="81" t="n"/>
      <c r="N161" s="81" t="n"/>
      <c r="O161" s="81" t="n"/>
      <c r="P161" s="81" t="n"/>
      <c r="Q161" s="113" t="n"/>
      <c r="R161" s="113" t="n"/>
      <c r="S161" s="113" t="n"/>
      <c r="T161" s="81" t="n"/>
      <c r="U161" s="81" t="n"/>
      <c r="V161" s="113" t="n"/>
      <c r="W161" s="81" t="n"/>
      <c r="X161" s="81" t="n"/>
      <c r="Y161" s="81" t="n"/>
      <c r="Z161" s="81" t="n"/>
      <c r="AA161" s="81" t="n"/>
      <c r="AB161" s="81" t="n"/>
      <c r="AC161" s="81" t="n"/>
      <c r="AD161" s="81" t="n"/>
      <c r="AE161" s="81" t="n"/>
      <c r="AF161" s="81" t="n"/>
      <c r="AG161" s="81" t="n"/>
      <c r="AH161" s="113" t="n"/>
      <c r="AI161" s="81" t="n"/>
      <c r="AJ161" s="81" t="n"/>
      <c r="AK161" s="113" t="n"/>
      <c r="AL161" s="81" t="n"/>
      <c r="AM161" s="81" t="n"/>
      <c r="AN161" s="81" t="n"/>
      <c r="AO161" s="113" t="n"/>
      <c r="AP161" s="113" t="n"/>
      <c r="AQ161" s="81" t="n"/>
      <c r="AR161" s="113" t="n"/>
      <c r="AS161" s="113" t="n"/>
      <c r="AT161" s="114" t="n"/>
      <c r="AU161" s="81" t="n"/>
      <c r="AV161" s="114" t="n"/>
      <c r="AW161" s="114" t="n"/>
      <c r="AX161" s="81" t="n"/>
      <c r="AY161" s="113" t="n"/>
      <c r="AZ161" s="115">
        <f>IF($B161="","",COUNTIF(References!$A$4:$A$503,$A161))</f>
        <v/>
      </c>
      <c r="BA161" s="115">
        <f>IF($B161="","",(LEN(A161)=0)+(LEN(B161)=0)+(LEN(D161)=0)+(LEN(G161)=0)+(LEN(H161)=0)+(LEN(I161)=0)+(LEN(J161)=0)+(LEN(L161)=0)+(LEN(M161)=0)+(LEN(O161)=0)+(LEN(R161)=0)+(LEN(X161)=0)+(LEN(AI161)=0)+(LEN(AJ161)=0)+(LEN(AQ161)=0)+(LEN(AR161)=0)+(LEN(AT161)=0)+(LEN(AU161)=0)+(LEN(AV161)=0)+(LEN(AX161)=0))</f>
        <v/>
      </c>
      <c r="BB161" s="115">
        <f>IF($B161="","",IF(AND(BA161=0,AZ161&gt;=1),"Complete","Incomplete"))</f>
        <v/>
      </c>
    </row>
    <row r="162" ht="15" customHeight="1" s="62">
      <c r="A162" s="81" t="n"/>
      <c r="B162" s="113" t="n"/>
      <c r="C162" s="81" t="n"/>
      <c r="D162" s="81" t="n"/>
      <c r="E162" s="81" t="n"/>
      <c r="F162" s="81" t="n"/>
      <c r="G162" s="81" t="n"/>
      <c r="H162" s="81" t="n"/>
      <c r="I162" s="81" t="n"/>
      <c r="J162" s="81" t="n"/>
      <c r="K162" s="81" t="n"/>
      <c r="L162" s="113" t="n"/>
      <c r="M162" s="81" t="n"/>
      <c r="N162" s="81" t="n"/>
      <c r="O162" s="81" t="n"/>
      <c r="P162" s="81" t="n"/>
      <c r="Q162" s="113" t="n"/>
      <c r="R162" s="113" t="n"/>
      <c r="S162" s="113" t="n"/>
      <c r="T162" s="81" t="n"/>
      <c r="U162" s="81" t="n"/>
      <c r="V162" s="113" t="n"/>
      <c r="W162" s="81" t="n"/>
      <c r="X162" s="81" t="n"/>
      <c r="Y162" s="81" t="n"/>
      <c r="Z162" s="81" t="n"/>
      <c r="AA162" s="81" t="n"/>
      <c r="AB162" s="81" t="n"/>
      <c r="AC162" s="81" t="n"/>
      <c r="AD162" s="81" t="n"/>
      <c r="AE162" s="81" t="n"/>
      <c r="AF162" s="81" t="n"/>
      <c r="AG162" s="81" t="n"/>
      <c r="AH162" s="113" t="n"/>
      <c r="AI162" s="81" t="n"/>
      <c r="AJ162" s="81" t="n"/>
      <c r="AK162" s="113" t="n"/>
      <c r="AL162" s="81" t="n"/>
      <c r="AM162" s="81" t="n"/>
      <c r="AN162" s="81" t="n"/>
      <c r="AO162" s="113" t="n"/>
      <c r="AP162" s="113" t="n"/>
      <c r="AQ162" s="81" t="n"/>
      <c r="AR162" s="113" t="n"/>
      <c r="AS162" s="113" t="n"/>
      <c r="AT162" s="114" t="n"/>
      <c r="AU162" s="81" t="n"/>
      <c r="AV162" s="114" t="n"/>
      <c r="AW162" s="114" t="n"/>
      <c r="AX162" s="81" t="n"/>
      <c r="AY162" s="113" t="n"/>
      <c r="AZ162" s="115">
        <f>IF($B162="","",COUNTIF(References!$A$4:$A$503,$A162))</f>
        <v/>
      </c>
      <c r="BA162" s="115">
        <f>IF($B162="","",(LEN(A162)=0)+(LEN(B162)=0)+(LEN(D162)=0)+(LEN(G162)=0)+(LEN(H162)=0)+(LEN(I162)=0)+(LEN(J162)=0)+(LEN(L162)=0)+(LEN(M162)=0)+(LEN(O162)=0)+(LEN(R162)=0)+(LEN(X162)=0)+(LEN(AI162)=0)+(LEN(AJ162)=0)+(LEN(AQ162)=0)+(LEN(AR162)=0)+(LEN(AT162)=0)+(LEN(AU162)=0)+(LEN(AV162)=0)+(LEN(AX162)=0))</f>
        <v/>
      </c>
      <c r="BB162" s="115">
        <f>IF($B162="","",IF(AND(BA162=0,AZ162&gt;=1),"Complete","Incomplete"))</f>
        <v/>
      </c>
    </row>
    <row r="163" ht="15" customHeight="1" s="62">
      <c r="A163" s="81" t="n"/>
      <c r="B163" s="113" t="n"/>
      <c r="C163" s="81" t="n"/>
      <c r="D163" s="81" t="n"/>
      <c r="E163" s="81" t="n"/>
      <c r="F163" s="81" t="n"/>
      <c r="G163" s="81" t="n"/>
      <c r="H163" s="81" t="n"/>
      <c r="I163" s="81" t="n"/>
      <c r="J163" s="81" t="n"/>
      <c r="K163" s="81" t="n"/>
      <c r="L163" s="113" t="n"/>
      <c r="M163" s="81" t="n"/>
      <c r="N163" s="81" t="n"/>
      <c r="O163" s="81" t="n"/>
      <c r="P163" s="81" t="n"/>
      <c r="Q163" s="113" t="n"/>
      <c r="R163" s="113" t="n"/>
      <c r="S163" s="113" t="n"/>
      <c r="T163" s="81" t="n"/>
      <c r="U163" s="81" t="n"/>
      <c r="V163" s="113" t="n"/>
      <c r="W163" s="81" t="n"/>
      <c r="X163" s="81" t="n"/>
      <c r="Y163" s="81" t="n"/>
      <c r="Z163" s="81" t="n"/>
      <c r="AA163" s="81" t="n"/>
      <c r="AB163" s="81" t="n"/>
      <c r="AC163" s="81" t="n"/>
      <c r="AD163" s="81" t="n"/>
      <c r="AE163" s="81" t="n"/>
      <c r="AF163" s="81" t="n"/>
      <c r="AG163" s="81" t="n"/>
      <c r="AH163" s="113" t="n"/>
      <c r="AI163" s="81" t="n"/>
      <c r="AJ163" s="81" t="n"/>
      <c r="AK163" s="113" t="n"/>
      <c r="AL163" s="81" t="n"/>
      <c r="AM163" s="81" t="n"/>
      <c r="AN163" s="81" t="n"/>
      <c r="AO163" s="113" t="n"/>
      <c r="AP163" s="113" t="n"/>
      <c r="AQ163" s="81" t="n"/>
      <c r="AR163" s="113" t="n"/>
      <c r="AS163" s="113" t="n"/>
      <c r="AT163" s="114" t="n"/>
      <c r="AU163" s="81" t="n"/>
      <c r="AV163" s="114" t="n"/>
      <c r="AW163" s="114" t="n"/>
      <c r="AX163" s="81" t="n"/>
      <c r="AY163" s="113" t="n"/>
      <c r="AZ163" s="115">
        <f>IF($B163="","",COUNTIF(References!$A$4:$A$503,$A163))</f>
        <v/>
      </c>
      <c r="BA163" s="115">
        <f>IF($B163="","",(LEN(A163)=0)+(LEN(B163)=0)+(LEN(D163)=0)+(LEN(G163)=0)+(LEN(H163)=0)+(LEN(I163)=0)+(LEN(J163)=0)+(LEN(L163)=0)+(LEN(M163)=0)+(LEN(O163)=0)+(LEN(R163)=0)+(LEN(X163)=0)+(LEN(AI163)=0)+(LEN(AJ163)=0)+(LEN(AQ163)=0)+(LEN(AR163)=0)+(LEN(AT163)=0)+(LEN(AU163)=0)+(LEN(AV163)=0)+(LEN(AX163)=0))</f>
        <v/>
      </c>
      <c r="BB163" s="115">
        <f>IF($B163="","",IF(AND(BA163=0,AZ163&gt;=1),"Complete","Incomplete"))</f>
        <v/>
      </c>
    </row>
    <row r="164" ht="15" customHeight="1" s="62">
      <c r="A164" s="81" t="n"/>
      <c r="B164" s="113" t="n"/>
      <c r="C164" s="81" t="n"/>
      <c r="D164" s="81" t="n"/>
      <c r="E164" s="81" t="n"/>
      <c r="F164" s="81" t="n"/>
      <c r="G164" s="81" t="n"/>
      <c r="H164" s="81" t="n"/>
      <c r="I164" s="81" t="n"/>
      <c r="J164" s="81" t="n"/>
      <c r="K164" s="81" t="n"/>
      <c r="L164" s="113" t="n"/>
      <c r="M164" s="81" t="n"/>
      <c r="N164" s="81" t="n"/>
      <c r="O164" s="81" t="n"/>
      <c r="P164" s="81" t="n"/>
      <c r="Q164" s="113" t="n"/>
      <c r="R164" s="113" t="n"/>
      <c r="S164" s="113" t="n"/>
      <c r="T164" s="81" t="n"/>
      <c r="U164" s="81" t="n"/>
      <c r="V164" s="113" t="n"/>
      <c r="W164" s="81" t="n"/>
      <c r="X164" s="81" t="n"/>
      <c r="Y164" s="81" t="n"/>
      <c r="Z164" s="81" t="n"/>
      <c r="AA164" s="81" t="n"/>
      <c r="AB164" s="81" t="n"/>
      <c r="AC164" s="81" t="n"/>
      <c r="AD164" s="81" t="n"/>
      <c r="AE164" s="81" t="n"/>
      <c r="AF164" s="81" t="n"/>
      <c r="AG164" s="81" t="n"/>
      <c r="AH164" s="113" t="n"/>
      <c r="AI164" s="81" t="n"/>
      <c r="AJ164" s="81" t="n"/>
      <c r="AK164" s="113" t="n"/>
      <c r="AL164" s="81" t="n"/>
      <c r="AM164" s="81" t="n"/>
      <c r="AN164" s="81" t="n"/>
      <c r="AO164" s="113" t="n"/>
      <c r="AP164" s="113" t="n"/>
      <c r="AQ164" s="81" t="n"/>
      <c r="AR164" s="113" t="n"/>
      <c r="AS164" s="113" t="n"/>
      <c r="AT164" s="114" t="n"/>
      <c r="AU164" s="81" t="n"/>
      <c r="AV164" s="114" t="n"/>
      <c r="AW164" s="114" t="n"/>
      <c r="AX164" s="81" t="n"/>
      <c r="AY164" s="113" t="n"/>
      <c r="AZ164" s="115">
        <f>IF($B164="","",COUNTIF(References!$A$4:$A$503,$A164))</f>
        <v/>
      </c>
      <c r="BA164" s="115">
        <f>IF($B164="","",(LEN(A164)=0)+(LEN(B164)=0)+(LEN(D164)=0)+(LEN(G164)=0)+(LEN(H164)=0)+(LEN(I164)=0)+(LEN(J164)=0)+(LEN(L164)=0)+(LEN(M164)=0)+(LEN(O164)=0)+(LEN(R164)=0)+(LEN(X164)=0)+(LEN(AI164)=0)+(LEN(AJ164)=0)+(LEN(AQ164)=0)+(LEN(AR164)=0)+(LEN(AT164)=0)+(LEN(AU164)=0)+(LEN(AV164)=0)+(LEN(AX164)=0))</f>
        <v/>
      </c>
      <c r="BB164" s="115">
        <f>IF($B164="","",IF(AND(BA164=0,AZ164&gt;=1),"Complete","Incomplete"))</f>
        <v/>
      </c>
    </row>
    <row r="165" ht="15" customHeight="1" s="62">
      <c r="A165" s="81" t="n"/>
      <c r="B165" s="113" t="n"/>
      <c r="C165" s="81" t="n"/>
      <c r="D165" s="81" t="n"/>
      <c r="E165" s="81" t="n"/>
      <c r="F165" s="81" t="n"/>
      <c r="G165" s="81" t="n"/>
      <c r="H165" s="81" t="n"/>
      <c r="I165" s="81" t="n"/>
      <c r="J165" s="81" t="n"/>
      <c r="K165" s="81" t="n"/>
      <c r="L165" s="113" t="n"/>
      <c r="M165" s="81" t="n"/>
      <c r="N165" s="81" t="n"/>
      <c r="O165" s="81" t="n"/>
      <c r="P165" s="81" t="n"/>
      <c r="Q165" s="113" t="n"/>
      <c r="R165" s="113" t="n"/>
      <c r="S165" s="113" t="n"/>
      <c r="T165" s="81" t="n"/>
      <c r="U165" s="81" t="n"/>
      <c r="V165" s="113" t="n"/>
      <c r="W165" s="81" t="n"/>
      <c r="X165" s="81" t="n"/>
      <c r="Y165" s="81" t="n"/>
      <c r="Z165" s="81" t="n"/>
      <c r="AA165" s="81" t="n"/>
      <c r="AB165" s="81" t="n"/>
      <c r="AC165" s="81" t="n"/>
      <c r="AD165" s="81" t="n"/>
      <c r="AE165" s="81" t="n"/>
      <c r="AF165" s="81" t="n"/>
      <c r="AG165" s="81" t="n"/>
      <c r="AH165" s="113" t="n"/>
      <c r="AI165" s="81" t="n"/>
      <c r="AJ165" s="81" t="n"/>
      <c r="AK165" s="113" t="n"/>
      <c r="AL165" s="81" t="n"/>
      <c r="AM165" s="81" t="n"/>
      <c r="AN165" s="81" t="n"/>
      <c r="AO165" s="113" t="n"/>
      <c r="AP165" s="113" t="n"/>
      <c r="AQ165" s="81" t="n"/>
      <c r="AR165" s="113" t="n"/>
      <c r="AS165" s="113" t="n"/>
      <c r="AT165" s="114" t="n"/>
      <c r="AU165" s="81" t="n"/>
      <c r="AV165" s="114" t="n"/>
      <c r="AW165" s="114" t="n"/>
      <c r="AX165" s="81" t="n"/>
      <c r="AY165" s="113" t="n"/>
      <c r="AZ165" s="115">
        <f>IF($B165="","",COUNTIF(References!$A$4:$A$503,$A165))</f>
        <v/>
      </c>
      <c r="BA165" s="115">
        <f>IF($B165="","",(LEN(A165)=0)+(LEN(B165)=0)+(LEN(D165)=0)+(LEN(G165)=0)+(LEN(H165)=0)+(LEN(I165)=0)+(LEN(J165)=0)+(LEN(L165)=0)+(LEN(M165)=0)+(LEN(O165)=0)+(LEN(R165)=0)+(LEN(X165)=0)+(LEN(AI165)=0)+(LEN(AJ165)=0)+(LEN(AQ165)=0)+(LEN(AR165)=0)+(LEN(AT165)=0)+(LEN(AU165)=0)+(LEN(AV165)=0)+(LEN(AX165)=0))</f>
        <v/>
      </c>
      <c r="BB165" s="115">
        <f>IF($B165="","",IF(AND(BA165=0,AZ165&gt;=1),"Complete","Incomplete"))</f>
        <v/>
      </c>
    </row>
    <row r="166" ht="15" customHeight="1" s="62">
      <c r="A166" s="81" t="n"/>
      <c r="B166" s="113" t="n"/>
      <c r="C166" s="81" t="n"/>
      <c r="D166" s="81" t="n"/>
      <c r="E166" s="81" t="n"/>
      <c r="F166" s="81" t="n"/>
      <c r="G166" s="81" t="n"/>
      <c r="H166" s="81" t="n"/>
      <c r="I166" s="81" t="n"/>
      <c r="J166" s="81" t="n"/>
      <c r="K166" s="81" t="n"/>
      <c r="L166" s="113" t="n"/>
      <c r="M166" s="81" t="n"/>
      <c r="N166" s="81" t="n"/>
      <c r="O166" s="81" t="n"/>
      <c r="P166" s="81" t="n"/>
      <c r="Q166" s="113" t="n"/>
      <c r="R166" s="113" t="n"/>
      <c r="S166" s="113" t="n"/>
      <c r="T166" s="81" t="n"/>
      <c r="U166" s="81" t="n"/>
      <c r="V166" s="113" t="n"/>
      <c r="W166" s="81" t="n"/>
      <c r="X166" s="81" t="n"/>
      <c r="Y166" s="81" t="n"/>
      <c r="Z166" s="81" t="n"/>
      <c r="AA166" s="81" t="n"/>
      <c r="AB166" s="81" t="n"/>
      <c r="AC166" s="81" t="n"/>
      <c r="AD166" s="81" t="n"/>
      <c r="AE166" s="81" t="n"/>
      <c r="AF166" s="81" t="n"/>
      <c r="AG166" s="81" t="n"/>
      <c r="AH166" s="113" t="n"/>
      <c r="AI166" s="81" t="n"/>
      <c r="AJ166" s="81" t="n"/>
      <c r="AK166" s="113" t="n"/>
      <c r="AL166" s="81" t="n"/>
      <c r="AM166" s="81" t="n"/>
      <c r="AN166" s="81" t="n"/>
      <c r="AO166" s="113" t="n"/>
      <c r="AP166" s="113" t="n"/>
      <c r="AQ166" s="81" t="n"/>
      <c r="AR166" s="113" t="n"/>
      <c r="AS166" s="113" t="n"/>
      <c r="AT166" s="114" t="n"/>
      <c r="AU166" s="81" t="n"/>
      <c r="AV166" s="114" t="n"/>
      <c r="AW166" s="114" t="n"/>
      <c r="AX166" s="81" t="n"/>
      <c r="AY166" s="113" t="n"/>
      <c r="AZ166" s="115">
        <f>IF($B166="","",COUNTIF(References!$A$4:$A$503,$A166))</f>
        <v/>
      </c>
      <c r="BA166" s="115">
        <f>IF($B166="","",(LEN(A166)=0)+(LEN(B166)=0)+(LEN(D166)=0)+(LEN(G166)=0)+(LEN(H166)=0)+(LEN(I166)=0)+(LEN(J166)=0)+(LEN(L166)=0)+(LEN(M166)=0)+(LEN(O166)=0)+(LEN(R166)=0)+(LEN(X166)=0)+(LEN(AI166)=0)+(LEN(AJ166)=0)+(LEN(AQ166)=0)+(LEN(AR166)=0)+(LEN(AT166)=0)+(LEN(AU166)=0)+(LEN(AV166)=0)+(LEN(AX166)=0))</f>
        <v/>
      </c>
      <c r="BB166" s="115">
        <f>IF($B166="","",IF(AND(BA166=0,AZ166&gt;=1),"Complete","Incomplete"))</f>
        <v/>
      </c>
    </row>
    <row r="167" ht="15" customHeight="1" s="62">
      <c r="A167" s="81" t="n"/>
      <c r="B167" s="113" t="n"/>
      <c r="C167" s="81" t="n"/>
      <c r="D167" s="81" t="n"/>
      <c r="E167" s="81" t="n"/>
      <c r="F167" s="81" t="n"/>
      <c r="G167" s="81" t="n"/>
      <c r="H167" s="81" t="n"/>
      <c r="I167" s="81" t="n"/>
      <c r="J167" s="81" t="n"/>
      <c r="K167" s="81" t="n"/>
      <c r="L167" s="113" t="n"/>
      <c r="M167" s="81" t="n"/>
      <c r="N167" s="81" t="n"/>
      <c r="O167" s="81" t="n"/>
      <c r="P167" s="81" t="n"/>
      <c r="Q167" s="113" t="n"/>
      <c r="R167" s="113" t="n"/>
      <c r="S167" s="113" t="n"/>
      <c r="T167" s="81" t="n"/>
      <c r="U167" s="81" t="n"/>
      <c r="V167" s="113" t="n"/>
      <c r="W167" s="81" t="n"/>
      <c r="X167" s="81" t="n"/>
      <c r="Y167" s="81" t="n"/>
      <c r="Z167" s="81" t="n"/>
      <c r="AA167" s="81" t="n"/>
      <c r="AB167" s="81" t="n"/>
      <c r="AC167" s="81" t="n"/>
      <c r="AD167" s="81" t="n"/>
      <c r="AE167" s="81" t="n"/>
      <c r="AF167" s="81" t="n"/>
      <c r="AG167" s="81" t="n"/>
      <c r="AH167" s="113" t="n"/>
      <c r="AI167" s="81" t="n"/>
      <c r="AJ167" s="81" t="n"/>
      <c r="AK167" s="113" t="n"/>
      <c r="AL167" s="81" t="n"/>
      <c r="AM167" s="81" t="n"/>
      <c r="AN167" s="81" t="n"/>
      <c r="AO167" s="113" t="n"/>
      <c r="AP167" s="113" t="n"/>
      <c r="AQ167" s="81" t="n"/>
      <c r="AR167" s="113" t="n"/>
      <c r="AS167" s="113" t="n"/>
      <c r="AT167" s="114" t="n"/>
      <c r="AU167" s="81" t="n"/>
      <c r="AV167" s="114" t="n"/>
      <c r="AW167" s="114" t="n"/>
      <c r="AX167" s="81" t="n"/>
      <c r="AY167" s="113" t="n"/>
      <c r="AZ167" s="115">
        <f>IF($B167="","",COUNTIF(References!$A$4:$A$503,$A167))</f>
        <v/>
      </c>
      <c r="BA167" s="115">
        <f>IF($B167="","",(LEN(A167)=0)+(LEN(B167)=0)+(LEN(D167)=0)+(LEN(G167)=0)+(LEN(H167)=0)+(LEN(I167)=0)+(LEN(J167)=0)+(LEN(L167)=0)+(LEN(M167)=0)+(LEN(O167)=0)+(LEN(R167)=0)+(LEN(X167)=0)+(LEN(AI167)=0)+(LEN(AJ167)=0)+(LEN(AQ167)=0)+(LEN(AR167)=0)+(LEN(AT167)=0)+(LEN(AU167)=0)+(LEN(AV167)=0)+(LEN(AX167)=0))</f>
        <v/>
      </c>
      <c r="BB167" s="115">
        <f>IF($B167="","",IF(AND(BA167=0,AZ167&gt;=1),"Complete","Incomplete"))</f>
        <v/>
      </c>
    </row>
    <row r="168" ht="15" customHeight="1" s="62">
      <c r="A168" s="81" t="n"/>
      <c r="B168" s="113" t="n"/>
      <c r="C168" s="81" t="n"/>
      <c r="D168" s="81" t="n"/>
      <c r="E168" s="81" t="n"/>
      <c r="F168" s="81" t="n"/>
      <c r="G168" s="81" t="n"/>
      <c r="H168" s="81" t="n"/>
      <c r="I168" s="81" t="n"/>
      <c r="J168" s="81" t="n"/>
      <c r="K168" s="81" t="n"/>
      <c r="L168" s="113" t="n"/>
      <c r="M168" s="81" t="n"/>
      <c r="N168" s="81" t="n"/>
      <c r="O168" s="81" t="n"/>
      <c r="P168" s="81" t="n"/>
      <c r="Q168" s="113" t="n"/>
      <c r="R168" s="113" t="n"/>
      <c r="S168" s="113" t="n"/>
      <c r="T168" s="81" t="n"/>
      <c r="U168" s="81" t="n"/>
      <c r="V168" s="113" t="n"/>
      <c r="W168" s="81" t="n"/>
      <c r="X168" s="81" t="n"/>
      <c r="Y168" s="81" t="n"/>
      <c r="Z168" s="81" t="n"/>
      <c r="AA168" s="81" t="n"/>
      <c r="AB168" s="81" t="n"/>
      <c r="AC168" s="81" t="n"/>
      <c r="AD168" s="81" t="n"/>
      <c r="AE168" s="81" t="n"/>
      <c r="AF168" s="81" t="n"/>
      <c r="AG168" s="81" t="n"/>
      <c r="AH168" s="113" t="n"/>
      <c r="AI168" s="81" t="n"/>
      <c r="AJ168" s="81" t="n"/>
      <c r="AK168" s="113" t="n"/>
      <c r="AL168" s="81" t="n"/>
      <c r="AM168" s="81" t="n"/>
      <c r="AN168" s="81" t="n"/>
      <c r="AO168" s="113" t="n"/>
      <c r="AP168" s="113" t="n"/>
      <c r="AQ168" s="81" t="n"/>
      <c r="AR168" s="113" t="n"/>
      <c r="AS168" s="113" t="n"/>
      <c r="AT168" s="114" t="n"/>
      <c r="AU168" s="81" t="n"/>
      <c r="AV168" s="114" t="n"/>
      <c r="AW168" s="114" t="n"/>
      <c r="AX168" s="81" t="n"/>
      <c r="AY168" s="113" t="n"/>
      <c r="AZ168" s="115">
        <f>IF($B168="","",COUNTIF(References!$A$4:$A$503,$A168))</f>
        <v/>
      </c>
      <c r="BA168" s="115">
        <f>IF($B168="","",(LEN(A168)=0)+(LEN(B168)=0)+(LEN(D168)=0)+(LEN(G168)=0)+(LEN(H168)=0)+(LEN(I168)=0)+(LEN(J168)=0)+(LEN(L168)=0)+(LEN(M168)=0)+(LEN(O168)=0)+(LEN(R168)=0)+(LEN(X168)=0)+(LEN(AI168)=0)+(LEN(AJ168)=0)+(LEN(AQ168)=0)+(LEN(AR168)=0)+(LEN(AT168)=0)+(LEN(AU168)=0)+(LEN(AV168)=0)+(LEN(AX168)=0))</f>
        <v/>
      </c>
      <c r="BB168" s="115">
        <f>IF($B168="","",IF(AND(BA168=0,AZ168&gt;=1),"Complete","Incomplete"))</f>
        <v/>
      </c>
    </row>
    <row r="169" ht="15" customHeight="1" s="62">
      <c r="A169" s="81" t="n"/>
      <c r="B169" s="113" t="n"/>
      <c r="C169" s="81" t="n"/>
      <c r="D169" s="81" t="n"/>
      <c r="E169" s="81" t="n"/>
      <c r="F169" s="81" t="n"/>
      <c r="G169" s="81" t="n"/>
      <c r="H169" s="81" t="n"/>
      <c r="I169" s="81" t="n"/>
      <c r="J169" s="81" t="n"/>
      <c r="K169" s="81" t="n"/>
      <c r="L169" s="113" t="n"/>
      <c r="M169" s="81" t="n"/>
      <c r="N169" s="81" t="n"/>
      <c r="O169" s="81" t="n"/>
      <c r="P169" s="81" t="n"/>
      <c r="Q169" s="113" t="n"/>
      <c r="R169" s="113" t="n"/>
      <c r="S169" s="113" t="n"/>
      <c r="T169" s="81" t="n"/>
      <c r="U169" s="81" t="n"/>
      <c r="V169" s="113" t="n"/>
      <c r="W169" s="81" t="n"/>
      <c r="X169" s="81" t="n"/>
      <c r="Y169" s="81" t="n"/>
      <c r="Z169" s="81" t="n"/>
      <c r="AA169" s="81" t="n"/>
      <c r="AB169" s="81" t="n"/>
      <c r="AC169" s="81" t="n"/>
      <c r="AD169" s="81" t="n"/>
      <c r="AE169" s="81" t="n"/>
      <c r="AF169" s="81" t="n"/>
      <c r="AG169" s="81" t="n"/>
      <c r="AH169" s="113" t="n"/>
      <c r="AI169" s="81" t="n"/>
      <c r="AJ169" s="81" t="n"/>
      <c r="AK169" s="113" t="n"/>
      <c r="AL169" s="81" t="n"/>
      <c r="AM169" s="81" t="n"/>
      <c r="AN169" s="81" t="n"/>
      <c r="AO169" s="113" t="n"/>
      <c r="AP169" s="113" t="n"/>
      <c r="AQ169" s="81" t="n"/>
      <c r="AR169" s="113" t="n"/>
      <c r="AS169" s="113" t="n"/>
      <c r="AT169" s="114" t="n"/>
      <c r="AU169" s="81" t="n"/>
      <c r="AV169" s="114" t="n"/>
      <c r="AW169" s="114" t="n"/>
      <c r="AX169" s="81" t="n"/>
      <c r="AY169" s="113" t="n"/>
      <c r="AZ169" s="115">
        <f>IF($B169="","",COUNTIF(References!$A$4:$A$503,$A169))</f>
        <v/>
      </c>
      <c r="BA169" s="115">
        <f>IF($B169="","",(LEN(A169)=0)+(LEN(B169)=0)+(LEN(D169)=0)+(LEN(G169)=0)+(LEN(H169)=0)+(LEN(I169)=0)+(LEN(J169)=0)+(LEN(L169)=0)+(LEN(M169)=0)+(LEN(O169)=0)+(LEN(R169)=0)+(LEN(X169)=0)+(LEN(AI169)=0)+(LEN(AJ169)=0)+(LEN(AQ169)=0)+(LEN(AR169)=0)+(LEN(AT169)=0)+(LEN(AU169)=0)+(LEN(AV169)=0)+(LEN(AX169)=0))</f>
        <v/>
      </c>
      <c r="BB169" s="115">
        <f>IF($B169="","",IF(AND(BA169=0,AZ169&gt;=1),"Complete","Incomplete"))</f>
        <v/>
      </c>
    </row>
    <row r="170" ht="15" customHeight="1" s="62">
      <c r="A170" s="81" t="n"/>
      <c r="B170" s="113" t="n"/>
      <c r="C170" s="81" t="n"/>
      <c r="D170" s="81" t="n"/>
      <c r="E170" s="81" t="n"/>
      <c r="F170" s="81" t="n"/>
      <c r="G170" s="81" t="n"/>
      <c r="H170" s="81" t="n"/>
      <c r="I170" s="81" t="n"/>
      <c r="J170" s="81" t="n"/>
      <c r="K170" s="81" t="n"/>
      <c r="L170" s="113" t="n"/>
      <c r="M170" s="81" t="n"/>
      <c r="N170" s="81" t="n"/>
      <c r="O170" s="81" t="n"/>
      <c r="P170" s="81" t="n"/>
      <c r="Q170" s="113" t="n"/>
      <c r="R170" s="113" t="n"/>
      <c r="S170" s="113" t="n"/>
      <c r="T170" s="81" t="n"/>
      <c r="U170" s="81" t="n"/>
      <c r="V170" s="113" t="n"/>
      <c r="W170" s="81" t="n"/>
      <c r="X170" s="81" t="n"/>
      <c r="Y170" s="81" t="n"/>
      <c r="Z170" s="81" t="n"/>
      <c r="AA170" s="81" t="n"/>
      <c r="AB170" s="81" t="n"/>
      <c r="AC170" s="81" t="n"/>
      <c r="AD170" s="81" t="n"/>
      <c r="AE170" s="81" t="n"/>
      <c r="AF170" s="81" t="n"/>
      <c r="AG170" s="81" t="n"/>
      <c r="AH170" s="113" t="n"/>
      <c r="AI170" s="81" t="n"/>
      <c r="AJ170" s="81" t="n"/>
      <c r="AK170" s="113" t="n"/>
      <c r="AL170" s="81" t="n"/>
      <c r="AM170" s="81" t="n"/>
      <c r="AN170" s="81" t="n"/>
      <c r="AO170" s="113" t="n"/>
      <c r="AP170" s="113" t="n"/>
      <c r="AQ170" s="81" t="n"/>
      <c r="AR170" s="113" t="n"/>
      <c r="AS170" s="113" t="n"/>
      <c r="AT170" s="114" t="n"/>
      <c r="AU170" s="81" t="n"/>
      <c r="AV170" s="114" t="n"/>
      <c r="AW170" s="114" t="n"/>
      <c r="AX170" s="81" t="n"/>
      <c r="AY170" s="113" t="n"/>
      <c r="AZ170" s="115">
        <f>IF($B170="","",COUNTIF(References!$A$4:$A$503,$A170))</f>
        <v/>
      </c>
      <c r="BA170" s="115">
        <f>IF($B170="","",(LEN(A170)=0)+(LEN(B170)=0)+(LEN(D170)=0)+(LEN(G170)=0)+(LEN(H170)=0)+(LEN(I170)=0)+(LEN(J170)=0)+(LEN(L170)=0)+(LEN(M170)=0)+(LEN(O170)=0)+(LEN(R170)=0)+(LEN(X170)=0)+(LEN(AI170)=0)+(LEN(AJ170)=0)+(LEN(AQ170)=0)+(LEN(AR170)=0)+(LEN(AT170)=0)+(LEN(AU170)=0)+(LEN(AV170)=0)+(LEN(AX170)=0))</f>
        <v/>
      </c>
      <c r="BB170" s="115">
        <f>IF($B170="","",IF(AND(BA170=0,AZ170&gt;=1),"Complete","Incomplete"))</f>
        <v/>
      </c>
    </row>
    <row r="171" ht="15" customHeight="1" s="62">
      <c r="A171" s="81" t="n"/>
      <c r="B171" s="113" t="n"/>
      <c r="C171" s="81" t="n"/>
      <c r="D171" s="81" t="n"/>
      <c r="E171" s="81" t="n"/>
      <c r="F171" s="81" t="n"/>
      <c r="G171" s="81" t="n"/>
      <c r="H171" s="81" t="n"/>
      <c r="I171" s="81" t="n"/>
      <c r="J171" s="81" t="n"/>
      <c r="K171" s="81" t="n"/>
      <c r="L171" s="113" t="n"/>
      <c r="M171" s="81" t="n"/>
      <c r="N171" s="81" t="n"/>
      <c r="O171" s="81" t="n"/>
      <c r="P171" s="81" t="n"/>
      <c r="Q171" s="113" t="n"/>
      <c r="R171" s="113" t="n"/>
      <c r="S171" s="113" t="n"/>
      <c r="T171" s="81" t="n"/>
      <c r="U171" s="81" t="n"/>
      <c r="V171" s="113" t="n"/>
      <c r="W171" s="81" t="n"/>
      <c r="X171" s="81" t="n"/>
      <c r="Y171" s="81" t="n"/>
      <c r="Z171" s="81" t="n"/>
      <c r="AA171" s="81" t="n"/>
      <c r="AB171" s="81" t="n"/>
      <c r="AC171" s="81" t="n"/>
      <c r="AD171" s="81" t="n"/>
      <c r="AE171" s="81" t="n"/>
      <c r="AF171" s="81" t="n"/>
      <c r="AG171" s="81" t="n"/>
      <c r="AH171" s="113" t="n"/>
      <c r="AI171" s="81" t="n"/>
      <c r="AJ171" s="81" t="n"/>
      <c r="AK171" s="113" t="n"/>
      <c r="AL171" s="81" t="n"/>
      <c r="AM171" s="81" t="n"/>
      <c r="AN171" s="81" t="n"/>
      <c r="AO171" s="113" t="n"/>
      <c r="AP171" s="113" t="n"/>
      <c r="AQ171" s="81" t="n"/>
      <c r="AR171" s="113" t="n"/>
      <c r="AS171" s="113" t="n"/>
      <c r="AT171" s="114" t="n"/>
      <c r="AU171" s="81" t="n"/>
      <c r="AV171" s="114" t="n"/>
      <c r="AW171" s="114" t="n"/>
      <c r="AX171" s="81" t="n"/>
      <c r="AY171" s="113" t="n"/>
      <c r="AZ171" s="115">
        <f>IF($B171="","",COUNTIF(References!$A$4:$A$503,$A171))</f>
        <v/>
      </c>
      <c r="BA171" s="115">
        <f>IF($B171="","",(LEN(A171)=0)+(LEN(B171)=0)+(LEN(D171)=0)+(LEN(G171)=0)+(LEN(H171)=0)+(LEN(I171)=0)+(LEN(J171)=0)+(LEN(L171)=0)+(LEN(M171)=0)+(LEN(O171)=0)+(LEN(R171)=0)+(LEN(X171)=0)+(LEN(AI171)=0)+(LEN(AJ171)=0)+(LEN(AQ171)=0)+(LEN(AR171)=0)+(LEN(AT171)=0)+(LEN(AU171)=0)+(LEN(AV171)=0)+(LEN(AX171)=0))</f>
        <v/>
      </c>
      <c r="BB171" s="115">
        <f>IF($B171="","",IF(AND(BA171=0,AZ171&gt;=1),"Complete","Incomplete"))</f>
        <v/>
      </c>
    </row>
    <row r="172" ht="15" customHeight="1" s="62">
      <c r="A172" s="81" t="n"/>
      <c r="B172" s="113" t="n"/>
      <c r="C172" s="81" t="n"/>
      <c r="D172" s="81" t="n"/>
      <c r="E172" s="81" t="n"/>
      <c r="F172" s="81" t="n"/>
      <c r="G172" s="81" t="n"/>
      <c r="H172" s="81" t="n"/>
      <c r="I172" s="81" t="n"/>
      <c r="J172" s="81" t="n"/>
      <c r="K172" s="81" t="n"/>
      <c r="L172" s="113" t="n"/>
      <c r="M172" s="81" t="n"/>
      <c r="N172" s="81" t="n"/>
      <c r="O172" s="81" t="n"/>
      <c r="P172" s="81" t="n"/>
      <c r="Q172" s="113" t="n"/>
      <c r="R172" s="113" t="n"/>
      <c r="S172" s="113" t="n"/>
      <c r="T172" s="81" t="n"/>
      <c r="U172" s="81" t="n"/>
      <c r="V172" s="113" t="n"/>
      <c r="W172" s="81" t="n"/>
      <c r="X172" s="81" t="n"/>
      <c r="Y172" s="81" t="n"/>
      <c r="Z172" s="81" t="n"/>
      <c r="AA172" s="81" t="n"/>
      <c r="AB172" s="81" t="n"/>
      <c r="AC172" s="81" t="n"/>
      <c r="AD172" s="81" t="n"/>
      <c r="AE172" s="81" t="n"/>
      <c r="AF172" s="81" t="n"/>
      <c r="AG172" s="81" t="n"/>
      <c r="AH172" s="113" t="n"/>
      <c r="AI172" s="81" t="n"/>
      <c r="AJ172" s="81" t="n"/>
      <c r="AK172" s="113" t="n"/>
      <c r="AL172" s="81" t="n"/>
      <c r="AM172" s="81" t="n"/>
      <c r="AN172" s="81" t="n"/>
      <c r="AO172" s="113" t="n"/>
      <c r="AP172" s="113" t="n"/>
      <c r="AQ172" s="81" t="n"/>
      <c r="AR172" s="113" t="n"/>
      <c r="AS172" s="113" t="n"/>
      <c r="AT172" s="114" t="n"/>
      <c r="AU172" s="81" t="n"/>
      <c r="AV172" s="114" t="n"/>
      <c r="AW172" s="114" t="n"/>
      <c r="AX172" s="81" t="n"/>
      <c r="AY172" s="113" t="n"/>
      <c r="AZ172" s="115">
        <f>IF($B172="","",COUNTIF(References!$A$4:$A$503,$A172))</f>
        <v/>
      </c>
      <c r="BA172" s="115">
        <f>IF($B172="","",(LEN(A172)=0)+(LEN(B172)=0)+(LEN(D172)=0)+(LEN(G172)=0)+(LEN(H172)=0)+(LEN(I172)=0)+(LEN(J172)=0)+(LEN(L172)=0)+(LEN(M172)=0)+(LEN(O172)=0)+(LEN(R172)=0)+(LEN(X172)=0)+(LEN(AI172)=0)+(LEN(AJ172)=0)+(LEN(AQ172)=0)+(LEN(AR172)=0)+(LEN(AT172)=0)+(LEN(AU172)=0)+(LEN(AV172)=0)+(LEN(AX172)=0))</f>
        <v/>
      </c>
      <c r="BB172" s="115">
        <f>IF($B172="","",IF(AND(BA172=0,AZ172&gt;=1),"Complete","Incomplete"))</f>
        <v/>
      </c>
    </row>
    <row r="173" ht="15" customHeight="1" s="62">
      <c r="A173" s="81" t="n"/>
      <c r="B173" s="113" t="n"/>
      <c r="C173" s="81" t="n"/>
      <c r="D173" s="81" t="n"/>
      <c r="E173" s="81" t="n"/>
      <c r="F173" s="81" t="n"/>
      <c r="G173" s="81" t="n"/>
      <c r="H173" s="81" t="n"/>
      <c r="I173" s="81" t="n"/>
      <c r="J173" s="81" t="n"/>
      <c r="K173" s="81" t="n"/>
      <c r="L173" s="113" t="n"/>
      <c r="M173" s="81" t="n"/>
      <c r="N173" s="81" t="n"/>
      <c r="O173" s="81" t="n"/>
      <c r="P173" s="81" t="n"/>
      <c r="Q173" s="113" t="n"/>
      <c r="R173" s="113" t="n"/>
      <c r="S173" s="113" t="n"/>
      <c r="T173" s="81" t="n"/>
      <c r="U173" s="81" t="n"/>
      <c r="V173" s="113" t="n"/>
      <c r="W173" s="81" t="n"/>
      <c r="X173" s="81" t="n"/>
      <c r="Y173" s="81" t="n"/>
      <c r="Z173" s="81" t="n"/>
      <c r="AA173" s="81" t="n"/>
      <c r="AB173" s="81" t="n"/>
      <c r="AC173" s="81" t="n"/>
      <c r="AD173" s="81" t="n"/>
      <c r="AE173" s="81" t="n"/>
      <c r="AF173" s="81" t="n"/>
      <c r="AG173" s="81" t="n"/>
      <c r="AH173" s="113" t="n"/>
      <c r="AI173" s="81" t="n"/>
      <c r="AJ173" s="81" t="n"/>
      <c r="AK173" s="113" t="n"/>
      <c r="AL173" s="81" t="n"/>
      <c r="AM173" s="81" t="n"/>
      <c r="AN173" s="81" t="n"/>
      <c r="AO173" s="113" t="n"/>
      <c r="AP173" s="113" t="n"/>
      <c r="AQ173" s="81" t="n"/>
      <c r="AR173" s="113" t="n"/>
      <c r="AS173" s="113" t="n"/>
      <c r="AT173" s="114" t="n"/>
      <c r="AU173" s="81" t="n"/>
      <c r="AV173" s="114" t="n"/>
      <c r="AW173" s="114" t="n"/>
      <c r="AX173" s="81" t="n"/>
      <c r="AY173" s="113" t="n"/>
      <c r="AZ173" s="115">
        <f>IF($B173="","",COUNTIF(References!$A$4:$A$503,$A173))</f>
        <v/>
      </c>
      <c r="BA173" s="115">
        <f>IF($B173="","",(LEN(A173)=0)+(LEN(B173)=0)+(LEN(D173)=0)+(LEN(G173)=0)+(LEN(H173)=0)+(LEN(I173)=0)+(LEN(J173)=0)+(LEN(L173)=0)+(LEN(M173)=0)+(LEN(O173)=0)+(LEN(R173)=0)+(LEN(X173)=0)+(LEN(AI173)=0)+(LEN(AJ173)=0)+(LEN(AQ173)=0)+(LEN(AR173)=0)+(LEN(AT173)=0)+(LEN(AU173)=0)+(LEN(AV173)=0)+(LEN(AX173)=0))</f>
        <v/>
      </c>
      <c r="BB173" s="115">
        <f>IF($B173="","",IF(AND(BA173=0,AZ173&gt;=1),"Complete","Incomplete"))</f>
        <v/>
      </c>
    </row>
    <row r="174" ht="15" customHeight="1" s="62">
      <c r="A174" s="81" t="n"/>
      <c r="B174" s="113" t="n"/>
      <c r="C174" s="81" t="n"/>
      <c r="D174" s="81" t="n"/>
      <c r="E174" s="81" t="n"/>
      <c r="F174" s="81" t="n"/>
      <c r="G174" s="81" t="n"/>
      <c r="H174" s="81" t="n"/>
      <c r="I174" s="81" t="n"/>
      <c r="J174" s="81" t="n"/>
      <c r="K174" s="81" t="n"/>
      <c r="L174" s="113" t="n"/>
      <c r="M174" s="81" t="n"/>
      <c r="N174" s="81" t="n"/>
      <c r="O174" s="81" t="n"/>
      <c r="P174" s="81" t="n"/>
      <c r="Q174" s="113" t="n"/>
      <c r="R174" s="113" t="n"/>
      <c r="S174" s="113" t="n"/>
      <c r="T174" s="81" t="n"/>
      <c r="U174" s="81" t="n"/>
      <c r="V174" s="113" t="n"/>
      <c r="W174" s="81" t="n"/>
      <c r="X174" s="81" t="n"/>
      <c r="Y174" s="81" t="n"/>
      <c r="Z174" s="81" t="n"/>
      <c r="AA174" s="81" t="n"/>
      <c r="AB174" s="81" t="n"/>
      <c r="AC174" s="81" t="n"/>
      <c r="AD174" s="81" t="n"/>
      <c r="AE174" s="81" t="n"/>
      <c r="AF174" s="81" t="n"/>
      <c r="AG174" s="81" t="n"/>
      <c r="AH174" s="113" t="n"/>
      <c r="AI174" s="81" t="n"/>
      <c r="AJ174" s="81" t="n"/>
      <c r="AK174" s="113" t="n"/>
      <c r="AL174" s="81" t="n"/>
      <c r="AM174" s="81" t="n"/>
      <c r="AN174" s="81" t="n"/>
      <c r="AO174" s="113" t="n"/>
      <c r="AP174" s="113" t="n"/>
      <c r="AQ174" s="81" t="n"/>
      <c r="AR174" s="113" t="n"/>
      <c r="AS174" s="113" t="n"/>
      <c r="AT174" s="114" t="n"/>
      <c r="AU174" s="81" t="n"/>
      <c r="AV174" s="114" t="n"/>
      <c r="AW174" s="114" t="n"/>
      <c r="AX174" s="81" t="n"/>
      <c r="AY174" s="113" t="n"/>
      <c r="AZ174" s="115">
        <f>IF($B174="","",COUNTIF(References!$A$4:$A$503,$A174))</f>
        <v/>
      </c>
      <c r="BA174" s="115">
        <f>IF($B174="","",(LEN(A174)=0)+(LEN(B174)=0)+(LEN(D174)=0)+(LEN(G174)=0)+(LEN(H174)=0)+(LEN(I174)=0)+(LEN(J174)=0)+(LEN(L174)=0)+(LEN(M174)=0)+(LEN(O174)=0)+(LEN(R174)=0)+(LEN(X174)=0)+(LEN(AI174)=0)+(LEN(AJ174)=0)+(LEN(AQ174)=0)+(LEN(AR174)=0)+(LEN(AT174)=0)+(LEN(AU174)=0)+(LEN(AV174)=0)+(LEN(AX174)=0))</f>
        <v/>
      </c>
      <c r="BB174" s="115">
        <f>IF($B174="","",IF(AND(BA174=0,AZ174&gt;=1),"Complete","Incomplete"))</f>
        <v/>
      </c>
    </row>
    <row r="175" ht="15" customHeight="1" s="62">
      <c r="A175" s="81" t="n"/>
      <c r="B175" s="113" t="n"/>
      <c r="C175" s="81" t="n"/>
      <c r="D175" s="81" t="n"/>
      <c r="E175" s="81" t="n"/>
      <c r="F175" s="81" t="n"/>
      <c r="G175" s="81" t="n"/>
      <c r="H175" s="81" t="n"/>
      <c r="I175" s="81" t="n"/>
      <c r="J175" s="81" t="n"/>
      <c r="K175" s="81" t="n"/>
      <c r="L175" s="113" t="n"/>
      <c r="M175" s="81" t="n"/>
      <c r="N175" s="81" t="n"/>
      <c r="O175" s="81" t="n"/>
      <c r="P175" s="81" t="n"/>
      <c r="Q175" s="113" t="n"/>
      <c r="R175" s="113" t="n"/>
      <c r="S175" s="113" t="n"/>
      <c r="T175" s="81" t="n"/>
      <c r="U175" s="81" t="n"/>
      <c r="V175" s="113" t="n"/>
      <c r="W175" s="81" t="n"/>
      <c r="X175" s="81" t="n"/>
      <c r="Y175" s="81" t="n"/>
      <c r="Z175" s="81" t="n"/>
      <c r="AA175" s="81" t="n"/>
      <c r="AB175" s="81" t="n"/>
      <c r="AC175" s="81" t="n"/>
      <c r="AD175" s="81" t="n"/>
      <c r="AE175" s="81" t="n"/>
      <c r="AF175" s="81" t="n"/>
      <c r="AG175" s="81" t="n"/>
      <c r="AH175" s="113" t="n"/>
      <c r="AI175" s="81" t="n"/>
      <c r="AJ175" s="81" t="n"/>
      <c r="AK175" s="113" t="n"/>
      <c r="AL175" s="81" t="n"/>
      <c r="AM175" s="81" t="n"/>
      <c r="AN175" s="81" t="n"/>
      <c r="AO175" s="113" t="n"/>
      <c r="AP175" s="113" t="n"/>
      <c r="AQ175" s="81" t="n"/>
      <c r="AR175" s="113" t="n"/>
      <c r="AS175" s="113" t="n"/>
      <c r="AT175" s="114" t="n"/>
      <c r="AU175" s="81" t="n"/>
      <c r="AV175" s="114" t="n"/>
      <c r="AW175" s="114" t="n"/>
      <c r="AX175" s="81" t="n"/>
      <c r="AY175" s="113" t="n"/>
      <c r="AZ175" s="115">
        <f>IF($B175="","",COUNTIF(References!$A$4:$A$503,$A175))</f>
        <v/>
      </c>
      <c r="BA175" s="115">
        <f>IF($B175="","",(LEN(A175)=0)+(LEN(B175)=0)+(LEN(D175)=0)+(LEN(G175)=0)+(LEN(H175)=0)+(LEN(I175)=0)+(LEN(J175)=0)+(LEN(L175)=0)+(LEN(M175)=0)+(LEN(O175)=0)+(LEN(R175)=0)+(LEN(X175)=0)+(LEN(AI175)=0)+(LEN(AJ175)=0)+(LEN(AQ175)=0)+(LEN(AR175)=0)+(LEN(AT175)=0)+(LEN(AU175)=0)+(LEN(AV175)=0)+(LEN(AX175)=0))</f>
        <v/>
      </c>
      <c r="BB175" s="115">
        <f>IF($B175="","",IF(AND(BA175=0,AZ175&gt;=1),"Complete","Incomplete"))</f>
        <v/>
      </c>
    </row>
    <row r="176" ht="15" customHeight="1" s="62">
      <c r="A176" s="81" t="n"/>
      <c r="B176" s="113" t="n"/>
      <c r="C176" s="81" t="n"/>
      <c r="D176" s="81" t="n"/>
      <c r="E176" s="81" t="n"/>
      <c r="F176" s="81" t="n"/>
      <c r="G176" s="81" t="n"/>
      <c r="H176" s="81" t="n"/>
      <c r="I176" s="81" t="n"/>
      <c r="J176" s="81" t="n"/>
      <c r="K176" s="81" t="n"/>
      <c r="L176" s="113" t="n"/>
      <c r="M176" s="81" t="n"/>
      <c r="N176" s="81" t="n"/>
      <c r="O176" s="81" t="n"/>
      <c r="P176" s="81" t="n"/>
      <c r="Q176" s="113" t="n"/>
      <c r="R176" s="113" t="n"/>
      <c r="S176" s="113" t="n"/>
      <c r="T176" s="81" t="n"/>
      <c r="U176" s="81" t="n"/>
      <c r="V176" s="113" t="n"/>
      <c r="W176" s="81" t="n"/>
      <c r="X176" s="81" t="n"/>
      <c r="Y176" s="81" t="n"/>
      <c r="Z176" s="81" t="n"/>
      <c r="AA176" s="81" t="n"/>
      <c r="AB176" s="81" t="n"/>
      <c r="AC176" s="81" t="n"/>
      <c r="AD176" s="81" t="n"/>
      <c r="AE176" s="81" t="n"/>
      <c r="AF176" s="81" t="n"/>
      <c r="AG176" s="81" t="n"/>
      <c r="AH176" s="113" t="n"/>
      <c r="AI176" s="81" t="n"/>
      <c r="AJ176" s="81" t="n"/>
      <c r="AK176" s="113" t="n"/>
      <c r="AL176" s="81" t="n"/>
      <c r="AM176" s="81" t="n"/>
      <c r="AN176" s="81" t="n"/>
      <c r="AO176" s="113" t="n"/>
      <c r="AP176" s="113" t="n"/>
      <c r="AQ176" s="81" t="n"/>
      <c r="AR176" s="113" t="n"/>
      <c r="AS176" s="113" t="n"/>
      <c r="AT176" s="114" t="n"/>
      <c r="AU176" s="81" t="n"/>
      <c r="AV176" s="114" t="n"/>
      <c r="AW176" s="114" t="n"/>
      <c r="AX176" s="81" t="n"/>
      <c r="AY176" s="113" t="n"/>
      <c r="AZ176" s="115">
        <f>IF($B176="","",COUNTIF(References!$A$4:$A$503,$A176))</f>
        <v/>
      </c>
      <c r="BA176" s="115">
        <f>IF($B176="","",(LEN(A176)=0)+(LEN(B176)=0)+(LEN(D176)=0)+(LEN(G176)=0)+(LEN(H176)=0)+(LEN(I176)=0)+(LEN(J176)=0)+(LEN(L176)=0)+(LEN(M176)=0)+(LEN(O176)=0)+(LEN(R176)=0)+(LEN(X176)=0)+(LEN(AI176)=0)+(LEN(AJ176)=0)+(LEN(AQ176)=0)+(LEN(AR176)=0)+(LEN(AT176)=0)+(LEN(AU176)=0)+(LEN(AV176)=0)+(LEN(AX176)=0))</f>
        <v/>
      </c>
      <c r="BB176" s="115">
        <f>IF($B176="","",IF(AND(BA176=0,AZ176&gt;=1),"Complete","Incomplete"))</f>
        <v/>
      </c>
    </row>
    <row r="177" ht="15" customHeight="1" s="62">
      <c r="A177" s="81" t="n"/>
      <c r="B177" s="113" t="n"/>
      <c r="C177" s="81" t="n"/>
      <c r="D177" s="81" t="n"/>
      <c r="E177" s="81" t="n"/>
      <c r="F177" s="81" t="n"/>
      <c r="G177" s="81" t="n"/>
      <c r="H177" s="81" t="n"/>
      <c r="I177" s="81" t="n"/>
      <c r="J177" s="81" t="n"/>
      <c r="K177" s="81" t="n"/>
      <c r="L177" s="113" t="n"/>
      <c r="M177" s="81" t="n"/>
      <c r="N177" s="81" t="n"/>
      <c r="O177" s="81" t="n"/>
      <c r="P177" s="81" t="n"/>
      <c r="Q177" s="113" t="n"/>
      <c r="R177" s="113" t="n"/>
      <c r="S177" s="113" t="n"/>
      <c r="T177" s="81" t="n"/>
      <c r="U177" s="81" t="n"/>
      <c r="V177" s="113" t="n"/>
      <c r="W177" s="81" t="n"/>
      <c r="X177" s="81" t="n"/>
      <c r="Y177" s="81" t="n"/>
      <c r="Z177" s="81" t="n"/>
      <c r="AA177" s="81" t="n"/>
      <c r="AB177" s="81" t="n"/>
      <c r="AC177" s="81" t="n"/>
      <c r="AD177" s="81" t="n"/>
      <c r="AE177" s="81" t="n"/>
      <c r="AF177" s="81" t="n"/>
      <c r="AG177" s="81" t="n"/>
      <c r="AH177" s="113" t="n"/>
      <c r="AI177" s="81" t="n"/>
      <c r="AJ177" s="81" t="n"/>
      <c r="AK177" s="113" t="n"/>
      <c r="AL177" s="81" t="n"/>
      <c r="AM177" s="81" t="n"/>
      <c r="AN177" s="81" t="n"/>
      <c r="AO177" s="113" t="n"/>
      <c r="AP177" s="113" t="n"/>
      <c r="AQ177" s="81" t="n"/>
      <c r="AR177" s="113" t="n"/>
      <c r="AS177" s="113" t="n"/>
      <c r="AT177" s="114" t="n"/>
      <c r="AU177" s="81" t="n"/>
      <c r="AV177" s="114" t="n"/>
      <c r="AW177" s="114" t="n"/>
      <c r="AX177" s="81" t="n"/>
      <c r="AY177" s="113" t="n"/>
      <c r="AZ177" s="115">
        <f>IF($B177="","",COUNTIF(References!$A$4:$A$503,$A177))</f>
        <v/>
      </c>
      <c r="BA177" s="115">
        <f>IF($B177="","",(LEN(A177)=0)+(LEN(B177)=0)+(LEN(D177)=0)+(LEN(G177)=0)+(LEN(H177)=0)+(LEN(I177)=0)+(LEN(J177)=0)+(LEN(L177)=0)+(LEN(M177)=0)+(LEN(O177)=0)+(LEN(R177)=0)+(LEN(X177)=0)+(LEN(AI177)=0)+(LEN(AJ177)=0)+(LEN(AQ177)=0)+(LEN(AR177)=0)+(LEN(AT177)=0)+(LEN(AU177)=0)+(LEN(AV177)=0)+(LEN(AX177)=0))</f>
        <v/>
      </c>
      <c r="BB177" s="115">
        <f>IF($B177="","",IF(AND(BA177=0,AZ177&gt;=1),"Complete","Incomplete"))</f>
        <v/>
      </c>
    </row>
    <row r="178" ht="15" customHeight="1" s="62">
      <c r="A178" s="81" t="n"/>
      <c r="B178" s="113" t="n"/>
      <c r="C178" s="81" t="n"/>
      <c r="D178" s="81" t="n"/>
      <c r="E178" s="81" t="n"/>
      <c r="F178" s="81" t="n"/>
      <c r="G178" s="81" t="n"/>
      <c r="H178" s="81" t="n"/>
      <c r="I178" s="81" t="n"/>
      <c r="J178" s="81" t="n"/>
      <c r="K178" s="81" t="n"/>
      <c r="L178" s="113" t="n"/>
      <c r="M178" s="81" t="n"/>
      <c r="N178" s="81" t="n"/>
      <c r="O178" s="81" t="n"/>
      <c r="P178" s="81" t="n"/>
      <c r="Q178" s="113" t="n"/>
      <c r="R178" s="113" t="n"/>
      <c r="S178" s="113" t="n"/>
      <c r="T178" s="81" t="n"/>
      <c r="U178" s="81" t="n"/>
      <c r="V178" s="113" t="n"/>
      <c r="W178" s="81" t="n"/>
      <c r="X178" s="81" t="n"/>
      <c r="Y178" s="81" t="n"/>
      <c r="Z178" s="81" t="n"/>
      <c r="AA178" s="81" t="n"/>
      <c r="AB178" s="81" t="n"/>
      <c r="AC178" s="81" t="n"/>
      <c r="AD178" s="81" t="n"/>
      <c r="AE178" s="81" t="n"/>
      <c r="AF178" s="81" t="n"/>
      <c r="AG178" s="81" t="n"/>
      <c r="AH178" s="113" t="n"/>
      <c r="AI178" s="81" t="n"/>
      <c r="AJ178" s="81" t="n"/>
      <c r="AK178" s="113" t="n"/>
      <c r="AL178" s="81" t="n"/>
      <c r="AM178" s="81" t="n"/>
      <c r="AN178" s="81" t="n"/>
      <c r="AO178" s="113" t="n"/>
      <c r="AP178" s="113" t="n"/>
      <c r="AQ178" s="81" t="n"/>
      <c r="AR178" s="113" t="n"/>
      <c r="AS178" s="113" t="n"/>
      <c r="AT178" s="114" t="n"/>
      <c r="AU178" s="81" t="n"/>
      <c r="AV178" s="114" t="n"/>
      <c r="AW178" s="114" t="n"/>
      <c r="AX178" s="81" t="n"/>
      <c r="AY178" s="113" t="n"/>
      <c r="AZ178" s="115">
        <f>IF($B178="","",COUNTIF(References!$A$4:$A$503,$A178))</f>
        <v/>
      </c>
      <c r="BA178" s="115">
        <f>IF($B178="","",(LEN(A178)=0)+(LEN(B178)=0)+(LEN(D178)=0)+(LEN(G178)=0)+(LEN(H178)=0)+(LEN(I178)=0)+(LEN(J178)=0)+(LEN(L178)=0)+(LEN(M178)=0)+(LEN(O178)=0)+(LEN(R178)=0)+(LEN(X178)=0)+(LEN(AI178)=0)+(LEN(AJ178)=0)+(LEN(AQ178)=0)+(LEN(AR178)=0)+(LEN(AT178)=0)+(LEN(AU178)=0)+(LEN(AV178)=0)+(LEN(AX178)=0))</f>
        <v/>
      </c>
      <c r="BB178" s="115">
        <f>IF($B178="","",IF(AND(BA178=0,AZ178&gt;=1),"Complete","Incomplete"))</f>
        <v/>
      </c>
    </row>
    <row r="179" ht="15" customHeight="1" s="62">
      <c r="A179" s="81" t="n"/>
      <c r="B179" s="113" t="n"/>
      <c r="C179" s="81" t="n"/>
      <c r="D179" s="81" t="n"/>
      <c r="E179" s="81" t="n"/>
      <c r="F179" s="81" t="n"/>
      <c r="G179" s="81" t="n"/>
      <c r="H179" s="81" t="n"/>
      <c r="I179" s="81" t="n"/>
      <c r="J179" s="81" t="n"/>
      <c r="K179" s="81" t="n"/>
      <c r="L179" s="113" t="n"/>
      <c r="M179" s="81" t="n"/>
      <c r="N179" s="81" t="n"/>
      <c r="O179" s="81" t="n"/>
      <c r="P179" s="81" t="n"/>
      <c r="Q179" s="113" t="n"/>
      <c r="R179" s="113" t="n"/>
      <c r="S179" s="113" t="n"/>
      <c r="T179" s="81" t="n"/>
      <c r="U179" s="81" t="n"/>
      <c r="V179" s="113" t="n"/>
      <c r="W179" s="81" t="n"/>
      <c r="X179" s="81" t="n"/>
      <c r="Y179" s="81" t="n"/>
      <c r="Z179" s="81" t="n"/>
      <c r="AA179" s="81" t="n"/>
      <c r="AB179" s="81" t="n"/>
      <c r="AC179" s="81" t="n"/>
      <c r="AD179" s="81" t="n"/>
      <c r="AE179" s="81" t="n"/>
      <c r="AF179" s="81" t="n"/>
      <c r="AG179" s="81" t="n"/>
      <c r="AH179" s="113" t="n"/>
      <c r="AI179" s="81" t="n"/>
      <c r="AJ179" s="81" t="n"/>
      <c r="AK179" s="113" t="n"/>
      <c r="AL179" s="81" t="n"/>
      <c r="AM179" s="81" t="n"/>
      <c r="AN179" s="81" t="n"/>
      <c r="AO179" s="113" t="n"/>
      <c r="AP179" s="113" t="n"/>
      <c r="AQ179" s="81" t="n"/>
      <c r="AR179" s="113" t="n"/>
      <c r="AS179" s="113" t="n"/>
      <c r="AT179" s="114" t="n"/>
      <c r="AU179" s="81" t="n"/>
      <c r="AV179" s="114" t="n"/>
      <c r="AW179" s="114" t="n"/>
      <c r="AX179" s="81" t="n"/>
      <c r="AY179" s="113" t="n"/>
      <c r="AZ179" s="115">
        <f>IF($B179="","",COUNTIF(References!$A$4:$A$503,$A179))</f>
        <v/>
      </c>
      <c r="BA179" s="115">
        <f>IF($B179="","",(LEN(A179)=0)+(LEN(B179)=0)+(LEN(D179)=0)+(LEN(G179)=0)+(LEN(H179)=0)+(LEN(I179)=0)+(LEN(J179)=0)+(LEN(L179)=0)+(LEN(M179)=0)+(LEN(O179)=0)+(LEN(R179)=0)+(LEN(X179)=0)+(LEN(AI179)=0)+(LEN(AJ179)=0)+(LEN(AQ179)=0)+(LEN(AR179)=0)+(LEN(AT179)=0)+(LEN(AU179)=0)+(LEN(AV179)=0)+(LEN(AX179)=0))</f>
        <v/>
      </c>
      <c r="BB179" s="115">
        <f>IF($B179="","",IF(AND(BA179=0,AZ179&gt;=1),"Complete","Incomplete"))</f>
        <v/>
      </c>
    </row>
    <row r="180" ht="15" customHeight="1" s="62">
      <c r="A180" s="81" t="n"/>
      <c r="B180" s="113" t="n"/>
      <c r="C180" s="81" t="n"/>
      <c r="D180" s="81" t="n"/>
      <c r="E180" s="81" t="n"/>
      <c r="F180" s="81" t="n"/>
      <c r="G180" s="81" t="n"/>
      <c r="H180" s="81" t="n"/>
      <c r="I180" s="81" t="n"/>
      <c r="J180" s="81" t="n"/>
      <c r="K180" s="81" t="n"/>
      <c r="L180" s="113" t="n"/>
      <c r="M180" s="81" t="n"/>
      <c r="N180" s="81" t="n"/>
      <c r="O180" s="81" t="n"/>
      <c r="P180" s="81" t="n"/>
      <c r="Q180" s="113" t="n"/>
      <c r="R180" s="113" t="n"/>
      <c r="S180" s="113" t="n"/>
      <c r="T180" s="81" t="n"/>
      <c r="U180" s="81" t="n"/>
      <c r="V180" s="113" t="n"/>
      <c r="W180" s="81" t="n"/>
      <c r="X180" s="81" t="n"/>
      <c r="Y180" s="81" t="n"/>
      <c r="Z180" s="81" t="n"/>
      <c r="AA180" s="81" t="n"/>
      <c r="AB180" s="81" t="n"/>
      <c r="AC180" s="81" t="n"/>
      <c r="AD180" s="81" t="n"/>
      <c r="AE180" s="81" t="n"/>
      <c r="AF180" s="81" t="n"/>
      <c r="AG180" s="81" t="n"/>
      <c r="AH180" s="113" t="n"/>
      <c r="AI180" s="81" t="n"/>
      <c r="AJ180" s="81" t="n"/>
      <c r="AK180" s="113" t="n"/>
      <c r="AL180" s="81" t="n"/>
      <c r="AM180" s="81" t="n"/>
      <c r="AN180" s="81" t="n"/>
      <c r="AO180" s="113" t="n"/>
      <c r="AP180" s="113" t="n"/>
      <c r="AQ180" s="81" t="n"/>
      <c r="AR180" s="113" t="n"/>
      <c r="AS180" s="113" t="n"/>
      <c r="AT180" s="114" t="n"/>
      <c r="AU180" s="81" t="n"/>
      <c r="AV180" s="114" t="n"/>
      <c r="AW180" s="114" t="n"/>
      <c r="AX180" s="81" t="n"/>
      <c r="AY180" s="113" t="n"/>
      <c r="AZ180" s="115">
        <f>IF($B180="","",COUNTIF(References!$A$4:$A$503,$A180))</f>
        <v/>
      </c>
      <c r="BA180" s="115">
        <f>IF($B180="","",(LEN(A180)=0)+(LEN(B180)=0)+(LEN(D180)=0)+(LEN(G180)=0)+(LEN(H180)=0)+(LEN(I180)=0)+(LEN(J180)=0)+(LEN(L180)=0)+(LEN(M180)=0)+(LEN(O180)=0)+(LEN(R180)=0)+(LEN(X180)=0)+(LEN(AI180)=0)+(LEN(AJ180)=0)+(LEN(AQ180)=0)+(LEN(AR180)=0)+(LEN(AT180)=0)+(LEN(AU180)=0)+(LEN(AV180)=0)+(LEN(AX180)=0))</f>
        <v/>
      </c>
      <c r="BB180" s="115">
        <f>IF($B180="","",IF(AND(BA180=0,AZ180&gt;=1),"Complete","Incomplete"))</f>
        <v/>
      </c>
    </row>
    <row r="181" ht="15" customHeight="1" s="62">
      <c r="A181" s="81" t="n"/>
      <c r="B181" s="113" t="n"/>
      <c r="C181" s="81" t="n"/>
      <c r="D181" s="81" t="n"/>
      <c r="E181" s="81" t="n"/>
      <c r="F181" s="81" t="n"/>
      <c r="G181" s="81" t="n"/>
      <c r="H181" s="81" t="n"/>
      <c r="I181" s="81" t="n"/>
      <c r="J181" s="81" t="n"/>
      <c r="K181" s="81" t="n"/>
      <c r="L181" s="113" t="n"/>
      <c r="M181" s="81" t="n"/>
      <c r="N181" s="81" t="n"/>
      <c r="O181" s="81" t="n"/>
      <c r="P181" s="81" t="n"/>
      <c r="Q181" s="113" t="n"/>
      <c r="R181" s="113" t="n"/>
      <c r="S181" s="113" t="n"/>
      <c r="T181" s="81" t="n"/>
      <c r="U181" s="81" t="n"/>
      <c r="V181" s="113" t="n"/>
      <c r="W181" s="81" t="n"/>
      <c r="X181" s="81" t="n"/>
      <c r="Y181" s="81" t="n"/>
      <c r="Z181" s="81" t="n"/>
      <c r="AA181" s="81" t="n"/>
      <c r="AB181" s="81" t="n"/>
      <c r="AC181" s="81" t="n"/>
      <c r="AD181" s="81" t="n"/>
      <c r="AE181" s="81" t="n"/>
      <c r="AF181" s="81" t="n"/>
      <c r="AG181" s="81" t="n"/>
      <c r="AH181" s="113" t="n"/>
      <c r="AI181" s="81" t="n"/>
      <c r="AJ181" s="81" t="n"/>
      <c r="AK181" s="113" t="n"/>
      <c r="AL181" s="81" t="n"/>
      <c r="AM181" s="81" t="n"/>
      <c r="AN181" s="81" t="n"/>
      <c r="AO181" s="113" t="n"/>
      <c r="AP181" s="113" t="n"/>
      <c r="AQ181" s="81" t="n"/>
      <c r="AR181" s="113" t="n"/>
      <c r="AS181" s="113" t="n"/>
      <c r="AT181" s="114" t="n"/>
      <c r="AU181" s="81" t="n"/>
      <c r="AV181" s="114" t="n"/>
      <c r="AW181" s="114" t="n"/>
      <c r="AX181" s="81" t="n"/>
      <c r="AY181" s="113" t="n"/>
      <c r="AZ181" s="115">
        <f>IF($B181="","",COUNTIF(References!$A$4:$A$503,$A181))</f>
        <v/>
      </c>
      <c r="BA181" s="115">
        <f>IF($B181="","",(LEN(A181)=0)+(LEN(B181)=0)+(LEN(D181)=0)+(LEN(G181)=0)+(LEN(H181)=0)+(LEN(I181)=0)+(LEN(J181)=0)+(LEN(L181)=0)+(LEN(M181)=0)+(LEN(O181)=0)+(LEN(R181)=0)+(LEN(X181)=0)+(LEN(AI181)=0)+(LEN(AJ181)=0)+(LEN(AQ181)=0)+(LEN(AR181)=0)+(LEN(AT181)=0)+(LEN(AU181)=0)+(LEN(AV181)=0)+(LEN(AX181)=0))</f>
        <v/>
      </c>
      <c r="BB181" s="115">
        <f>IF($B181="","",IF(AND(BA181=0,AZ181&gt;=1),"Complete","Incomplete"))</f>
        <v/>
      </c>
    </row>
    <row r="182" ht="15" customHeight="1" s="62">
      <c r="A182" s="81" t="n"/>
      <c r="B182" s="113" t="n"/>
      <c r="C182" s="81" t="n"/>
      <c r="D182" s="81" t="n"/>
      <c r="E182" s="81" t="n"/>
      <c r="F182" s="81" t="n"/>
      <c r="G182" s="81" t="n"/>
      <c r="H182" s="81" t="n"/>
      <c r="I182" s="81" t="n"/>
      <c r="J182" s="81" t="n"/>
      <c r="K182" s="81" t="n"/>
      <c r="L182" s="113" t="n"/>
      <c r="M182" s="81" t="n"/>
      <c r="N182" s="81" t="n"/>
      <c r="O182" s="81" t="n"/>
      <c r="P182" s="81" t="n"/>
      <c r="Q182" s="113" t="n"/>
      <c r="R182" s="113" t="n"/>
      <c r="S182" s="113" t="n"/>
      <c r="T182" s="81" t="n"/>
      <c r="U182" s="81" t="n"/>
      <c r="V182" s="113" t="n"/>
      <c r="W182" s="81" t="n"/>
      <c r="X182" s="81" t="n"/>
      <c r="Y182" s="81" t="n"/>
      <c r="Z182" s="81" t="n"/>
      <c r="AA182" s="81" t="n"/>
      <c r="AB182" s="81" t="n"/>
      <c r="AC182" s="81" t="n"/>
      <c r="AD182" s="81" t="n"/>
      <c r="AE182" s="81" t="n"/>
      <c r="AF182" s="81" t="n"/>
      <c r="AG182" s="81" t="n"/>
      <c r="AH182" s="113" t="n"/>
      <c r="AI182" s="81" t="n"/>
      <c r="AJ182" s="81" t="n"/>
      <c r="AK182" s="113" t="n"/>
      <c r="AL182" s="81" t="n"/>
      <c r="AM182" s="81" t="n"/>
      <c r="AN182" s="81" t="n"/>
      <c r="AO182" s="113" t="n"/>
      <c r="AP182" s="113" t="n"/>
      <c r="AQ182" s="81" t="n"/>
      <c r="AR182" s="113" t="n"/>
      <c r="AS182" s="113" t="n"/>
      <c r="AT182" s="114" t="n"/>
      <c r="AU182" s="81" t="n"/>
      <c r="AV182" s="114" t="n"/>
      <c r="AW182" s="114" t="n"/>
      <c r="AX182" s="81" t="n"/>
      <c r="AY182" s="113" t="n"/>
      <c r="AZ182" s="115">
        <f>IF($B182="","",COUNTIF(References!$A$4:$A$503,$A182))</f>
        <v/>
      </c>
      <c r="BA182" s="115">
        <f>IF($B182="","",(LEN(A182)=0)+(LEN(B182)=0)+(LEN(D182)=0)+(LEN(G182)=0)+(LEN(H182)=0)+(LEN(I182)=0)+(LEN(J182)=0)+(LEN(L182)=0)+(LEN(M182)=0)+(LEN(O182)=0)+(LEN(R182)=0)+(LEN(X182)=0)+(LEN(AI182)=0)+(LEN(AJ182)=0)+(LEN(AQ182)=0)+(LEN(AR182)=0)+(LEN(AT182)=0)+(LEN(AU182)=0)+(LEN(AV182)=0)+(LEN(AX182)=0))</f>
        <v/>
      </c>
      <c r="BB182" s="115">
        <f>IF($B182="","",IF(AND(BA182=0,AZ182&gt;=1),"Complete","Incomplete"))</f>
        <v/>
      </c>
    </row>
    <row r="183" ht="15" customHeight="1" s="62">
      <c r="A183" s="81" t="n"/>
      <c r="B183" s="113" t="n"/>
      <c r="C183" s="81" t="n"/>
      <c r="D183" s="81" t="n"/>
      <c r="E183" s="81" t="n"/>
      <c r="F183" s="81" t="n"/>
      <c r="G183" s="81" t="n"/>
      <c r="H183" s="81" t="n"/>
      <c r="I183" s="81" t="n"/>
      <c r="J183" s="81" t="n"/>
      <c r="K183" s="81" t="n"/>
      <c r="L183" s="113" t="n"/>
      <c r="M183" s="81" t="n"/>
      <c r="N183" s="81" t="n"/>
      <c r="O183" s="81" t="n"/>
      <c r="P183" s="81" t="n"/>
      <c r="Q183" s="113" t="n"/>
      <c r="R183" s="113" t="n"/>
      <c r="S183" s="113" t="n"/>
      <c r="T183" s="81" t="n"/>
      <c r="U183" s="81" t="n"/>
      <c r="V183" s="113" t="n"/>
      <c r="W183" s="81" t="n"/>
      <c r="X183" s="81" t="n"/>
      <c r="Y183" s="81" t="n"/>
      <c r="Z183" s="81" t="n"/>
      <c r="AA183" s="81" t="n"/>
      <c r="AB183" s="81" t="n"/>
      <c r="AC183" s="81" t="n"/>
      <c r="AD183" s="81" t="n"/>
      <c r="AE183" s="81" t="n"/>
      <c r="AF183" s="81" t="n"/>
      <c r="AG183" s="81" t="n"/>
      <c r="AH183" s="113" t="n"/>
      <c r="AI183" s="81" t="n"/>
      <c r="AJ183" s="81" t="n"/>
      <c r="AK183" s="113" t="n"/>
      <c r="AL183" s="81" t="n"/>
      <c r="AM183" s="81" t="n"/>
      <c r="AN183" s="81" t="n"/>
      <c r="AO183" s="113" t="n"/>
      <c r="AP183" s="113" t="n"/>
      <c r="AQ183" s="81" t="n"/>
      <c r="AR183" s="113" t="n"/>
      <c r="AS183" s="113" t="n"/>
      <c r="AT183" s="114" t="n"/>
      <c r="AU183" s="81" t="n"/>
      <c r="AV183" s="114" t="n"/>
      <c r="AW183" s="114" t="n"/>
      <c r="AX183" s="81" t="n"/>
      <c r="AY183" s="113" t="n"/>
      <c r="AZ183" s="115">
        <f>IF($B183="","",COUNTIF(References!$A$4:$A$503,$A183))</f>
        <v/>
      </c>
      <c r="BA183" s="115">
        <f>IF($B183="","",(LEN(A183)=0)+(LEN(B183)=0)+(LEN(D183)=0)+(LEN(G183)=0)+(LEN(H183)=0)+(LEN(I183)=0)+(LEN(J183)=0)+(LEN(L183)=0)+(LEN(M183)=0)+(LEN(O183)=0)+(LEN(R183)=0)+(LEN(X183)=0)+(LEN(AI183)=0)+(LEN(AJ183)=0)+(LEN(AQ183)=0)+(LEN(AR183)=0)+(LEN(AT183)=0)+(LEN(AU183)=0)+(LEN(AV183)=0)+(LEN(AX183)=0))</f>
        <v/>
      </c>
      <c r="BB183" s="115">
        <f>IF($B183="","",IF(AND(BA183=0,AZ183&gt;=1),"Complete","Incomplete"))</f>
        <v/>
      </c>
    </row>
    <row r="184" ht="15" customHeight="1" s="62">
      <c r="A184" s="81" t="n"/>
      <c r="B184" s="113" t="n"/>
      <c r="C184" s="81" t="n"/>
      <c r="D184" s="81" t="n"/>
      <c r="E184" s="81" t="n"/>
      <c r="F184" s="81" t="n"/>
      <c r="G184" s="81" t="n"/>
      <c r="H184" s="81" t="n"/>
      <c r="I184" s="81" t="n"/>
      <c r="J184" s="81" t="n"/>
      <c r="K184" s="81" t="n"/>
      <c r="L184" s="113" t="n"/>
      <c r="M184" s="81" t="n"/>
      <c r="N184" s="81" t="n"/>
      <c r="O184" s="81" t="n"/>
      <c r="P184" s="81" t="n"/>
      <c r="Q184" s="113" t="n"/>
      <c r="R184" s="113" t="n"/>
      <c r="S184" s="113" t="n"/>
      <c r="T184" s="81" t="n"/>
      <c r="U184" s="81" t="n"/>
      <c r="V184" s="113" t="n"/>
      <c r="W184" s="81" t="n"/>
      <c r="X184" s="81" t="n"/>
      <c r="Y184" s="81" t="n"/>
      <c r="Z184" s="81" t="n"/>
      <c r="AA184" s="81" t="n"/>
      <c r="AB184" s="81" t="n"/>
      <c r="AC184" s="81" t="n"/>
      <c r="AD184" s="81" t="n"/>
      <c r="AE184" s="81" t="n"/>
      <c r="AF184" s="81" t="n"/>
      <c r="AG184" s="81" t="n"/>
      <c r="AH184" s="113" t="n"/>
      <c r="AI184" s="81" t="n"/>
      <c r="AJ184" s="81" t="n"/>
      <c r="AK184" s="113" t="n"/>
      <c r="AL184" s="81" t="n"/>
      <c r="AM184" s="81" t="n"/>
      <c r="AN184" s="81" t="n"/>
      <c r="AO184" s="113" t="n"/>
      <c r="AP184" s="113" t="n"/>
      <c r="AQ184" s="81" t="n"/>
      <c r="AR184" s="113" t="n"/>
      <c r="AS184" s="113" t="n"/>
      <c r="AT184" s="114" t="n"/>
      <c r="AU184" s="81" t="n"/>
      <c r="AV184" s="114" t="n"/>
      <c r="AW184" s="114" t="n"/>
      <c r="AX184" s="81" t="n"/>
      <c r="AY184" s="113" t="n"/>
      <c r="AZ184" s="115">
        <f>IF($B184="","",COUNTIF(References!$A$4:$A$503,$A184))</f>
        <v/>
      </c>
      <c r="BA184" s="115">
        <f>IF($B184="","",(LEN(A184)=0)+(LEN(B184)=0)+(LEN(D184)=0)+(LEN(G184)=0)+(LEN(H184)=0)+(LEN(I184)=0)+(LEN(J184)=0)+(LEN(L184)=0)+(LEN(M184)=0)+(LEN(O184)=0)+(LEN(R184)=0)+(LEN(X184)=0)+(LEN(AI184)=0)+(LEN(AJ184)=0)+(LEN(AQ184)=0)+(LEN(AR184)=0)+(LEN(AT184)=0)+(LEN(AU184)=0)+(LEN(AV184)=0)+(LEN(AX184)=0))</f>
        <v/>
      </c>
      <c r="BB184" s="115">
        <f>IF($B184="","",IF(AND(BA184=0,AZ184&gt;=1),"Complete","Incomplete"))</f>
        <v/>
      </c>
    </row>
    <row r="185" ht="15" customHeight="1" s="62">
      <c r="A185" s="81" t="n"/>
      <c r="B185" s="113" t="n"/>
      <c r="C185" s="81" t="n"/>
      <c r="D185" s="81" t="n"/>
      <c r="E185" s="81" t="n"/>
      <c r="F185" s="81" t="n"/>
      <c r="G185" s="81" t="n"/>
      <c r="H185" s="81" t="n"/>
      <c r="I185" s="81" t="n"/>
      <c r="J185" s="81" t="n"/>
      <c r="K185" s="81" t="n"/>
      <c r="L185" s="113" t="n"/>
      <c r="M185" s="81" t="n"/>
      <c r="N185" s="81" t="n"/>
      <c r="O185" s="81" t="n"/>
      <c r="P185" s="81" t="n"/>
      <c r="Q185" s="113" t="n"/>
      <c r="R185" s="113" t="n"/>
      <c r="S185" s="113" t="n"/>
      <c r="T185" s="81" t="n"/>
      <c r="U185" s="81" t="n"/>
      <c r="V185" s="113" t="n"/>
      <c r="W185" s="81" t="n"/>
      <c r="X185" s="81" t="n"/>
      <c r="Y185" s="81" t="n"/>
      <c r="Z185" s="81" t="n"/>
      <c r="AA185" s="81" t="n"/>
      <c r="AB185" s="81" t="n"/>
      <c r="AC185" s="81" t="n"/>
      <c r="AD185" s="81" t="n"/>
      <c r="AE185" s="81" t="n"/>
      <c r="AF185" s="81" t="n"/>
      <c r="AG185" s="81" t="n"/>
      <c r="AH185" s="113" t="n"/>
      <c r="AI185" s="81" t="n"/>
      <c r="AJ185" s="81" t="n"/>
      <c r="AK185" s="113" t="n"/>
      <c r="AL185" s="81" t="n"/>
      <c r="AM185" s="81" t="n"/>
      <c r="AN185" s="81" t="n"/>
      <c r="AO185" s="113" t="n"/>
      <c r="AP185" s="113" t="n"/>
      <c r="AQ185" s="81" t="n"/>
      <c r="AR185" s="113" t="n"/>
      <c r="AS185" s="113" t="n"/>
      <c r="AT185" s="114" t="n"/>
      <c r="AU185" s="81" t="n"/>
      <c r="AV185" s="114" t="n"/>
      <c r="AW185" s="114" t="n"/>
      <c r="AX185" s="81" t="n"/>
      <c r="AY185" s="113" t="n"/>
      <c r="AZ185" s="115">
        <f>IF($B185="","",COUNTIF(References!$A$4:$A$503,$A185))</f>
        <v/>
      </c>
      <c r="BA185" s="115">
        <f>IF($B185="","",(LEN(A185)=0)+(LEN(B185)=0)+(LEN(D185)=0)+(LEN(G185)=0)+(LEN(H185)=0)+(LEN(I185)=0)+(LEN(J185)=0)+(LEN(L185)=0)+(LEN(M185)=0)+(LEN(O185)=0)+(LEN(R185)=0)+(LEN(X185)=0)+(LEN(AI185)=0)+(LEN(AJ185)=0)+(LEN(AQ185)=0)+(LEN(AR185)=0)+(LEN(AT185)=0)+(LEN(AU185)=0)+(LEN(AV185)=0)+(LEN(AX185)=0))</f>
        <v/>
      </c>
      <c r="BB185" s="115">
        <f>IF($B185="","",IF(AND(BA185=0,AZ185&gt;=1),"Complete","Incomplete"))</f>
        <v/>
      </c>
    </row>
    <row r="186" ht="15" customHeight="1" s="62">
      <c r="A186" s="81" t="n"/>
      <c r="B186" s="113" t="n"/>
      <c r="C186" s="81" t="n"/>
      <c r="D186" s="81" t="n"/>
      <c r="E186" s="81" t="n"/>
      <c r="F186" s="81" t="n"/>
      <c r="G186" s="81" t="n"/>
      <c r="H186" s="81" t="n"/>
      <c r="I186" s="81" t="n"/>
      <c r="J186" s="81" t="n"/>
      <c r="K186" s="81" t="n"/>
      <c r="L186" s="113" t="n"/>
      <c r="M186" s="81" t="n"/>
      <c r="N186" s="81" t="n"/>
      <c r="O186" s="81" t="n"/>
      <c r="P186" s="81" t="n"/>
      <c r="Q186" s="113" t="n"/>
      <c r="R186" s="113" t="n"/>
      <c r="S186" s="113" t="n"/>
      <c r="T186" s="81" t="n"/>
      <c r="U186" s="81" t="n"/>
      <c r="V186" s="113" t="n"/>
      <c r="W186" s="81" t="n"/>
      <c r="X186" s="81" t="n"/>
      <c r="Y186" s="81" t="n"/>
      <c r="Z186" s="81" t="n"/>
      <c r="AA186" s="81" t="n"/>
      <c r="AB186" s="81" t="n"/>
      <c r="AC186" s="81" t="n"/>
      <c r="AD186" s="81" t="n"/>
      <c r="AE186" s="81" t="n"/>
      <c r="AF186" s="81" t="n"/>
      <c r="AG186" s="81" t="n"/>
      <c r="AH186" s="113" t="n"/>
      <c r="AI186" s="81" t="n"/>
      <c r="AJ186" s="81" t="n"/>
      <c r="AK186" s="113" t="n"/>
      <c r="AL186" s="81" t="n"/>
      <c r="AM186" s="81" t="n"/>
      <c r="AN186" s="81" t="n"/>
      <c r="AO186" s="113" t="n"/>
      <c r="AP186" s="113" t="n"/>
      <c r="AQ186" s="81" t="n"/>
      <c r="AR186" s="113" t="n"/>
      <c r="AS186" s="113" t="n"/>
      <c r="AT186" s="114" t="n"/>
      <c r="AU186" s="81" t="n"/>
      <c r="AV186" s="114" t="n"/>
      <c r="AW186" s="114" t="n"/>
      <c r="AX186" s="81" t="n"/>
      <c r="AY186" s="113" t="n"/>
      <c r="AZ186" s="115">
        <f>IF($B186="","",COUNTIF(References!$A$4:$A$503,$A186))</f>
        <v/>
      </c>
      <c r="BA186" s="115">
        <f>IF($B186="","",(LEN(A186)=0)+(LEN(B186)=0)+(LEN(D186)=0)+(LEN(G186)=0)+(LEN(H186)=0)+(LEN(I186)=0)+(LEN(J186)=0)+(LEN(L186)=0)+(LEN(M186)=0)+(LEN(O186)=0)+(LEN(R186)=0)+(LEN(X186)=0)+(LEN(AI186)=0)+(LEN(AJ186)=0)+(LEN(AQ186)=0)+(LEN(AR186)=0)+(LEN(AT186)=0)+(LEN(AU186)=0)+(LEN(AV186)=0)+(LEN(AX186)=0))</f>
        <v/>
      </c>
      <c r="BB186" s="115">
        <f>IF($B186="","",IF(AND(BA186=0,AZ186&gt;=1),"Complete","Incomplete"))</f>
        <v/>
      </c>
    </row>
    <row r="187" ht="15" customHeight="1" s="62">
      <c r="A187" s="81" t="n"/>
      <c r="B187" s="113" t="n"/>
      <c r="C187" s="81" t="n"/>
      <c r="D187" s="81" t="n"/>
      <c r="E187" s="81" t="n"/>
      <c r="F187" s="81" t="n"/>
      <c r="G187" s="81" t="n"/>
      <c r="H187" s="81" t="n"/>
      <c r="I187" s="81" t="n"/>
      <c r="J187" s="81" t="n"/>
      <c r="K187" s="81" t="n"/>
      <c r="L187" s="113" t="n"/>
      <c r="M187" s="81" t="n"/>
      <c r="N187" s="81" t="n"/>
      <c r="O187" s="81" t="n"/>
      <c r="P187" s="81" t="n"/>
      <c r="Q187" s="113" t="n"/>
      <c r="R187" s="113" t="n"/>
      <c r="S187" s="113" t="n"/>
      <c r="T187" s="81" t="n"/>
      <c r="U187" s="81" t="n"/>
      <c r="V187" s="113" t="n"/>
      <c r="W187" s="81" t="n"/>
      <c r="X187" s="81" t="n"/>
      <c r="Y187" s="81" t="n"/>
      <c r="Z187" s="81" t="n"/>
      <c r="AA187" s="81" t="n"/>
      <c r="AB187" s="81" t="n"/>
      <c r="AC187" s="81" t="n"/>
      <c r="AD187" s="81" t="n"/>
      <c r="AE187" s="81" t="n"/>
      <c r="AF187" s="81" t="n"/>
      <c r="AG187" s="81" t="n"/>
      <c r="AH187" s="113" t="n"/>
      <c r="AI187" s="81" t="n"/>
      <c r="AJ187" s="81" t="n"/>
      <c r="AK187" s="113" t="n"/>
      <c r="AL187" s="81" t="n"/>
      <c r="AM187" s="81" t="n"/>
      <c r="AN187" s="81" t="n"/>
      <c r="AO187" s="113" t="n"/>
      <c r="AP187" s="113" t="n"/>
      <c r="AQ187" s="81" t="n"/>
      <c r="AR187" s="113" t="n"/>
      <c r="AS187" s="113" t="n"/>
      <c r="AT187" s="114" t="n"/>
      <c r="AU187" s="81" t="n"/>
      <c r="AV187" s="114" t="n"/>
      <c r="AW187" s="114" t="n"/>
      <c r="AX187" s="81" t="n"/>
      <c r="AY187" s="113" t="n"/>
      <c r="AZ187" s="115">
        <f>IF($B187="","",COUNTIF(References!$A$4:$A$503,$A187))</f>
        <v/>
      </c>
      <c r="BA187" s="115">
        <f>IF($B187="","",(LEN(A187)=0)+(LEN(B187)=0)+(LEN(D187)=0)+(LEN(G187)=0)+(LEN(H187)=0)+(LEN(I187)=0)+(LEN(J187)=0)+(LEN(L187)=0)+(LEN(M187)=0)+(LEN(O187)=0)+(LEN(R187)=0)+(LEN(X187)=0)+(LEN(AI187)=0)+(LEN(AJ187)=0)+(LEN(AQ187)=0)+(LEN(AR187)=0)+(LEN(AT187)=0)+(LEN(AU187)=0)+(LEN(AV187)=0)+(LEN(AX187)=0))</f>
        <v/>
      </c>
      <c r="BB187" s="115">
        <f>IF($B187="","",IF(AND(BA187=0,AZ187&gt;=1),"Complete","Incomplete"))</f>
        <v/>
      </c>
    </row>
    <row r="188" ht="15" customHeight="1" s="62">
      <c r="A188" s="81" t="n"/>
      <c r="B188" s="113" t="n"/>
      <c r="C188" s="81" t="n"/>
      <c r="D188" s="81" t="n"/>
      <c r="E188" s="81" t="n"/>
      <c r="F188" s="81" t="n"/>
      <c r="G188" s="81" t="n"/>
      <c r="H188" s="81" t="n"/>
      <c r="I188" s="81" t="n"/>
      <c r="J188" s="81" t="n"/>
      <c r="K188" s="81" t="n"/>
      <c r="L188" s="113" t="n"/>
      <c r="M188" s="81" t="n"/>
      <c r="N188" s="81" t="n"/>
      <c r="O188" s="81" t="n"/>
      <c r="P188" s="81" t="n"/>
      <c r="Q188" s="113" t="n"/>
      <c r="R188" s="113" t="n"/>
      <c r="S188" s="113" t="n"/>
      <c r="T188" s="81" t="n"/>
      <c r="U188" s="81" t="n"/>
      <c r="V188" s="113" t="n"/>
      <c r="W188" s="81" t="n"/>
      <c r="X188" s="81" t="n"/>
      <c r="Y188" s="81" t="n"/>
      <c r="Z188" s="81" t="n"/>
      <c r="AA188" s="81" t="n"/>
      <c r="AB188" s="81" t="n"/>
      <c r="AC188" s="81" t="n"/>
      <c r="AD188" s="81" t="n"/>
      <c r="AE188" s="81" t="n"/>
      <c r="AF188" s="81" t="n"/>
      <c r="AG188" s="81" t="n"/>
      <c r="AH188" s="113" t="n"/>
      <c r="AI188" s="81" t="n"/>
      <c r="AJ188" s="81" t="n"/>
      <c r="AK188" s="113" t="n"/>
      <c r="AL188" s="81" t="n"/>
      <c r="AM188" s="81" t="n"/>
      <c r="AN188" s="81" t="n"/>
      <c r="AO188" s="113" t="n"/>
      <c r="AP188" s="113" t="n"/>
      <c r="AQ188" s="81" t="n"/>
      <c r="AR188" s="113" t="n"/>
      <c r="AS188" s="113" t="n"/>
      <c r="AT188" s="114" t="n"/>
      <c r="AU188" s="81" t="n"/>
      <c r="AV188" s="114" t="n"/>
      <c r="AW188" s="114" t="n"/>
      <c r="AX188" s="81" t="n"/>
      <c r="AY188" s="113" t="n"/>
      <c r="AZ188" s="115">
        <f>IF($B188="","",COUNTIF(References!$A$4:$A$503,$A188))</f>
        <v/>
      </c>
      <c r="BA188" s="115">
        <f>IF($B188="","",(LEN(A188)=0)+(LEN(B188)=0)+(LEN(D188)=0)+(LEN(G188)=0)+(LEN(H188)=0)+(LEN(I188)=0)+(LEN(J188)=0)+(LEN(L188)=0)+(LEN(M188)=0)+(LEN(O188)=0)+(LEN(R188)=0)+(LEN(X188)=0)+(LEN(AI188)=0)+(LEN(AJ188)=0)+(LEN(AQ188)=0)+(LEN(AR188)=0)+(LEN(AT188)=0)+(LEN(AU188)=0)+(LEN(AV188)=0)+(LEN(AX188)=0))</f>
        <v/>
      </c>
      <c r="BB188" s="115">
        <f>IF($B188="","",IF(AND(BA188=0,AZ188&gt;=1),"Complete","Incomplete"))</f>
        <v/>
      </c>
    </row>
    <row r="189" ht="15" customHeight="1" s="62">
      <c r="A189" s="81" t="n"/>
      <c r="B189" s="113" t="n"/>
      <c r="C189" s="81" t="n"/>
      <c r="D189" s="81" t="n"/>
      <c r="E189" s="81" t="n"/>
      <c r="F189" s="81" t="n"/>
      <c r="G189" s="81" t="n"/>
      <c r="H189" s="81" t="n"/>
      <c r="I189" s="81" t="n"/>
      <c r="J189" s="81" t="n"/>
      <c r="K189" s="81" t="n"/>
      <c r="L189" s="113" t="n"/>
      <c r="M189" s="81" t="n"/>
      <c r="N189" s="81" t="n"/>
      <c r="O189" s="81" t="n"/>
      <c r="P189" s="81" t="n"/>
      <c r="Q189" s="113" t="n"/>
      <c r="R189" s="113" t="n"/>
      <c r="S189" s="113" t="n"/>
      <c r="T189" s="81" t="n"/>
      <c r="U189" s="81" t="n"/>
      <c r="V189" s="113" t="n"/>
      <c r="W189" s="81" t="n"/>
      <c r="X189" s="81" t="n"/>
      <c r="Y189" s="81" t="n"/>
      <c r="Z189" s="81" t="n"/>
      <c r="AA189" s="81" t="n"/>
      <c r="AB189" s="81" t="n"/>
      <c r="AC189" s="81" t="n"/>
      <c r="AD189" s="81" t="n"/>
      <c r="AE189" s="81" t="n"/>
      <c r="AF189" s="81" t="n"/>
      <c r="AG189" s="81" t="n"/>
      <c r="AH189" s="113" t="n"/>
      <c r="AI189" s="81" t="n"/>
      <c r="AJ189" s="81" t="n"/>
      <c r="AK189" s="113" t="n"/>
      <c r="AL189" s="81" t="n"/>
      <c r="AM189" s="81" t="n"/>
      <c r="AN189" s="81" t="n"/>
      <c r="AO189" s="113" t="n"/>
      <c r="AP189" s="113" t="n"/>
      <c r="AQ189" s="81" t="n"/>
      <c r="AR189" s="113" t="n"/>
      <c r="AS189" s="113" t="n"/>
      <c r="AT189" s="114" t="n"/>
      <c r="AU189" s="81" t="n"/>
      <c r="AV189" s="114" t="n"/>
      <c r="AW189" s="114" t="n"/>
      <c r="AX189" s="81" t="n"/>
      <c r="AY189" s="113" t="n"/>
      <c r="AZ189" s="115">
        <f>IF($B189="","",COUNTIF(References!$A$4:$A$503,$A189))</f>
        <v/>
      </c>
      <c r="BA189" s="115">
        <f>IF($B189="","",(LEN(A189)=0)+(LEN(B189)=0)+(LEN(D189)=0)+(LEN(G189)=0)+(LEN(H189)=0)+(LEN(I189)=0)+(LEN(J189)=0)+(LEN(L189)=0)+(LEN(M189)=0)+(LEN(O189)=0)+(LEN(R189)=0)+(LEN(X189)=0)+(LEN(AI189)=0)+(LEN(AJ189)=0)+(LEN(AQ189)=0)+(LEN(AR189)=0)+(LEN(AT189)=0)+(LEN(AU189)=0)+(LEN(AV189)=0)+(LEN(AX189)=0))</f>
        <v/>
      </c>
      <c r="BB189" s="115">
        <f>IF($B189="","",IF(AND(BA189=0,AZ189&gt;=1),"Complete","Incomplete"))</f>
        <v/>
      </c>
    </row>
    <row r="190" ht="15" customHeight="1" s="62">
      <c r="A190" s="81" t="n"/>
      <c r="B190" s="113" t="n"/>
      <c r="C190" s="81" t="n"/>
      <c r="D190" s="81" t="n"/>
      <c r="E190" s="81" t="n"/>
      <c r="F190" s="81" t="n"/>
      <c r="G190" s="81" t="n"/>
      <c r="H190" s="81" t="n"/>
      <c r="I190" s="81" t="n"/>
      <c r="J190" s="81" t="n"/>
      <c r="K190" s="81" t="n"/>
      <c r="L190" s="113" t="n"/>
      <c r="M190" s="81" t="n"/>
      <c r="N190" s="81" t="n"/>
      <c r="O190" s="81" t="n"/>
      <c r="P190" s="81" t="n"/>
      <c r="Q190" s="113" t="n"/>
      <c r="R190" s="113" t="n"/>
      <c r="S190" s="113" t="n"/>
      <c r="T190" s="81" t="n"/>
      <c r="U190" s="81" t="n"/>
      <c r="V190" s="113" t="n"/>
      <c r="W190" s="81" t="n"/>
      <c r="X190" s="81" t="n"/>
      <c r="Y190" s="81" t="n"/>
      <c r="Z190" s="81" t="n"/>
      <c r="AA190" s="81" t="n"/>
      <c r="AB190" s="81" t="n"/>
      <c r="AC190" s="81" t="n"/>
      <c r="AD190" s="81" t="n"/>
      <c r="AE190" s="81" t="n"/>
      <c r="AF190" s="81" t="n"/>
      <c r="AG190" s="81" t="n"/>
      <c r="AH190" s="113" t="n"/>
      <c r="AI190" s="81" t="n"/>
      <c r="AJ190" s="81" t="n"/>
      <c r="AK190" s="113" t="n"/>
      <c r="AL190" s="81" t="n"/>
      <c r="AM190" s="81" t="n"/>
      <c r="AN190" s="81" t="n"/>
      <c r="AO190" s="113" t="n"/>
      <c r="AP190" s="113" t="n"/>
      <c r="AQ190" s="81" t="n"/>
      <c r="AR190" s="113" t="n"/>
      <c r="AS190" s="113" t="n"/>
      <c r="AT190" s="114" t="n"/>
      <c r="AU190" s="81" t="n"/>
      <c r="AV190" s="114" t="n"/>
      <c r="AW190" s="114" t="n"/>
      <c r="AX190" s="81" t="n"/>
      <c r="AY190" s="113" t="n"/>
      <c r="AZ190" s="115">
        <f>IF($B190="","",COUNTIF(References!$A$4:$A$503,$A190))</f>
        <v/>
      </c>
      <c r="BA190" s="115">
        <f>IF($B190="","",(LEN(A190)=0)+(LEN(B190)=0)+(LEN(D190)=0)+(LEN(G190)=0)+(LEN(H190)=0)+(LEN(I190)=0)+(LEN(J190)=0)+(LEN(L190)=0)+(LEN(M190)=0)+(LEN(O190)=0)+(LEN(R190)=0)+(LEN(X190)=0)+(LEN(AI190)=0)+(LEN(AJ190)=0)+(LEN(AQ190)=0)+(LEN(AR190)=0)+(LEN(AT190)=0)+(LEN(AU190)=0)+(LEN(AV190)=0)+(LEN(AX190)=0))</f>
        <v/>
      </c>
      <c r="BB190" s="115">
        <f>IF($B190="","",IF(AND(BA190=0,AZ190&gt;=1),"Complete","Incomplete"))</f>
        <v/>
      </c>
    </row>
    <row r="191" ht="15" customHeight="1" s="62">
      <c r="A191" s="81" t="n"/>
      <c r="B191" s="113" t="n"/>
      <c r="C191" s="81" t="n"/>
      <c r="D191" s="81" t="n"/>
      <c r="E191" s="81" t="n"/>
      <c r="F191" s="81" t="n"/>
      <c r="G191" s="81" t="n"/>
      <c r="H191" s="81" t="n"/>
      <c r="I191" s="81" t="n"/>
      <c r="J191" s="81" t="n"/>
      <c r="K191" s="81" t="n"/>
      <c r="L191" s="113" t="n"/>
      <c r="M191" s="81" t="n"/>
      <c r="N191" s="81" t="n"/>
      <c r="O191" s="81" t="n"/>
      <c r="P191" s="81" t="n"/>
      <c r="Q191" s="113" t="n"/>
      <c r="R191" s="113" t="n"/>
      <c r="S191" s="113" t="n"/>
      <c r="T191" s="81" t="n"/>
      <c r="U191" s="81" t="n"/>
      <c r="V191" s="113" t="n"/>
      <c r="W191" s="81" t="n"/>
      <c r="X191" s="81" t="n"/>
      <c r="Y191" s="81" t="n"/>
      <c r="Z191" s="81" t="n"/>
      <c r="AA191" s="81" t="n"/>
      <c r="AB191" s="81" t="n"/>
      <c r="AC191" s="81" t="n"/>
      <c r="AD191" s="81" t="n"/>
      <c r="AE191" s="81" t="n"/>
      <c r="AF191" s="81" t="n"/>
      <c r="AG191" s="81" t="n"/>
      <c r="AH191" s="113" t="n"/>
      <c r="AI191" s="81" t="n"/>
      <c r="AJ191" s="81" t="n"/>
      <c r="AK191" s="113" t="n"/>
      <c r="AL191" s="81" t="n"/>
      <c r="AM191" s="81" t="n"/>
      <c r="AN191" s="81" t="n"/>
      <c r="AO191" s="113" t="n"/>
      <c r="AP191" s="113" t="n"/>
      <c r="AQ191" s="81" t="n"/>
      <c r="AR191" s="113" t="n"/>
      <c r="AS191" s="113" t="n"/>
      <c r="AT191" s="114" t="n"/>
      <c r="AU191" s="81" t="n"/>
      <c r="AV191" s="114" t="n"/>
      <c r="AW191" s="114" t="n"/>
      <c r="AX191" s="81" t="n"/>
      <c r="AY191" s="113" t="n"/>
      <c r="AZ191" s="115">
        <f>IF($B191="","",COUNTIF(References!$A$4:$A$503,$A191))</f>
        <v/>
      </c>
      <c r="BA191" s="115">
        <f>IF($B191="","",(LEN(A191)=0)+(LEN(B191)=0)+(LEN(D191)=0)+(LEN(G191)=0)+(LEN(H191)=0)+(LEN(I191)=0)+(LEN(J191)=0)+(LEN(L191)=0)+(LEN(M191)=0)+(LEN(O191)=0)+(LEN(R191)=0)+(LEN(X191)=0)+(LEN(AI191)=0)+(LEN(AJ191)=0)+(LEN(AQ191)=0)+(LEN(AR191)=0)+(LEN(AT191)=0)+(LEN(AU191)=0)+(LEN(AV191)=0)+(LEN(AX191)=0))</f>
        <v/>
      </c>
      <c r="BB191" s="115">
        <f>IF($B191="","",IF(AND(BA191=0,AZ191&gt;=1),"Complete","Incomplete"))</f>
        <v/>
      </c>
    </row>
    <row r="192" ht="15" customHeight="1" s="62">
      <c r="A192" s="81" t="n"/>
      <c r="B192" s="113" t="n"/>
      <c r="C192" s="81" t="n"/>
      <c r="D192" s="81" t="n"/>
      <c r="E192" s="81" t="n"/>
      <c r="F192" s="81" t="n"/>
      <c r="G192" s="81" t="n"/>
      <c r="H192" s="81" t="n"/>
      <c r="I192" s="81" t="n"/>
      <c r="J192" s="81" t="n"/>
      <c r="K192" s="81" t="n"/>
      <c r="L192" s="113" t="n"/>
      <c r="M192" s="81" t="n"/>
      <c r="N192" s="81" t="n"/>
      <c r="O192" s="81" t="n"/>
      <c r="P192" s="81" t="n"/>
      <c r="Q192" s="113" t="n"/>
      <c r="R192" s="113" t="n"/>
      <c r="S192" s="113" t="n"/>
      <c r="T192" s="81" t="n"/>
      <c r="U192" s="81" t="n"/>
      <c r="V192" s="113" t="n"/>
      <c r="W192" s="81" t="n"/>
      <c r="X192" s="81" t="n"/>
      <c r="Y192" s="81" t="n"/>
      <c r="Z192" s="81" t="n"/>
      <c r="AA192" s="81" t="n"/>
      <c r="AB192" s="81" t="n"/>
      <c r="AC192" s="81" t="n"/>
      <c r="AD192" s="81" t="n"/>
      <c r="AE192" s="81" t="n"/>
      <c r="AF192" s="81" t="n"/>
      <c r="AG192" s="81" t="n"/>
      <c r="AH192" s="113" t="n"/>
      <c r="AI192" s="81" t="n"/>
      <c r="AJ192" s="81" t="n"/>
      <c r="AK192" s="113" t="n"/>
      <c r="AL192" s="81" t="n"/>
      <c r="AM192" s="81" t="n"/>
      <c r="AN192" s="81" t="n"/>
      <c r="AO192" s="113" t="n"/>
      <c r="AP192" s="113" t="n"/>
      <c r="AQ192" s="81" t="n"/>
      <c r="AR192" s="113" t="n"/>
      <c r="AS192" s="113" t="n"/>
      <c r="AT192" s="114" t="n"/>
      <c r="AU192" s="81" t="n"/>
      <c r="AV192" s="114" t="n"/>
      <c r="AW192" s="114" t="n"/>
      <c r="AX192" s="81" t="n"/>
      <c r="AY192" s="113" t="n"/>
      <c r="AZ192" s="115">
        <f>IF($B192="","",COUNTIF(References!$A$4:$A$503,$A192))</f>
        <v/>
      </c>
      <c r="BA192" s="115">
        <f>IF($B192="","",(LEN(A192)=0)+(LEN(B192)=0)+(LEN(D192)=0)+(LEN(G192)=0)+(LEN(H192)=0)+(LEN(I192)=0)+(LEN(J192)=0)+(LEN(L192)=0)+(LEN(M192)=0)+(LEN(O192)=0)+(LEN(R192)=0)+(LEN(X192)=0)+(LEN(AI192)=0)+(LEN(AJ192)=0)+(LEN(AQ192)=0)+(LEN(AR192)=0)+(LEN(AT192)=0)+(LEN(AU192)=0)+(LEN(AV192)=0)+(LEN(AX192)=0))</f>
        <v/>
      </c>
      <c r="BB192" s="115">
        <f>IF($B192="","",IF(AND(BA192=0,AZ192&gt;=1),"Complete","Incomplete"))</f>
        <v/>
      </c>
    </row>
    <row r="193" ht="15" customHeight="1" s="62">
      <c r="A193" s="81" t="n"/>
      <c r="B193" s="113" t="n"/>
      <c r="C193" s="81" t="n"/>
      <c r="D193" s="81" t="n"/>
      <c r="E193" s="81" t="n"/>
      <c r="F193" s="81" t="n"/>
      <c r="G193" s="81" t="n"/>
      <c r="H193" s="81" t="n"/>
      <c r="I193" s="81" t="n"/>
      <c r="J193" s="81" t="n"/>
      <c r="K193" s="81" t="n"/>
      <c r="L193" s="113" t="n"/>
      <c r="M193" s="81" t="n"/>
      <c r="N193" s="81" t="n"/>
      <c r="O193" s="81" t="n"/>
      <c r="P193" s="81" t="n"/>
      <c r="Q193" s="113" t="n"/>
      <c r="R193" s="113" t="n"/>
      <c r="S193" s="113" t="n"/>
      <c r="T193" s="81" t="n"/>
      <c r="U193" s="81" t="n"/>
      <c r="V193" s="113" t="n"/>
      <c r="W193" s="81" t="n"/>
      <c r="X193" s="81" t="n"/>
      <c r="Y193" s="81" t="n"/>
      <c r="Z193" s="81" t="n"/>
      <c r="AA193" s="81" t="n"/>
      <c r="AB193" s="81" t="n"/>
      <c r="AC193" s="81" t="n"/>
      <c r="AD193" s="81" t="n"/>
      <c r="AE193" s="81" t="n"/>
      <c r="AF193" s="81" t="n"/>
      <c r="AG193" s="81" t="n"/>
      <c r="AH193" s="113" t="n"/>
      <c r="AI193" s="81" t="n"/>
      <c r="AJ193" s="81" t="n"/>
      <c r="AK193" s="113" t="n"/>
      <c r="AL193" s="81" t="n"/>
      <c r="AM193" s="81" t="n"/>
      <c r="AN193" s="81" t="n"/>
      <c r="AO193" s="113" t="n"/>
      <c r="AP193" s="113" t="n"/>
      <c r="AQ193" s="81" t="n"/>
      <c r="AR193" s="113" t="n"/>
      <c r="AS193" s="113" t="n"/>
      <c r="AT193" s="114" t="n"/>
      <c r="AU193" s="81" t="n"/>
      <c r="AV193" s="114" t="n"/>
      <c r="AW193" s="114" t="n"/>
      <c r="AX193" s="81" t="n"/>
      <c r="AY193" s="113" t="n"/>
      <c r="AZ193" s="115">
        <f>IF($B193="","",COUNTIF(References!$A$4:$A$503,$A193))</f>
        <v/>
      </c>
      <c r="BA193" s="115">
        <f>IF($B193="","",(LEN(A193)=0)+(LEN(B193)=0)+(LEN(D193)=0)+(LEN(G193)=0)+(LEN(H193)=0)+(LEN(I193)=0)+(LEN(J193)=0)+(LEN(L193)=0)+(LEN(M193)=0)+(LEN(O193)=0)+(LEN(R193)=0)+(LEN(X193)=0)+(LEN(AI193)=0)+(LEN(AJ193)=0)+(LEN(AQ193)=0)+(LEN(AR193)=0)+(LEN(AT193)=0)+(LEN(AU193)=0)+(LEN(AV193)=0)+(LEN(AX193)=0))</f>
        <v/>
      </c>
      <c r="BB193" s="115">
        <f>IF($B193="","",IF(AND(BA193=0,AZ193&gt;=1),"Complete","Incomplete"))</f>
        <v/>
      </c>
    </row>
    <row r="194" ht="15" customHeight="1" s="62">
      <c r="A194" s="81" t="n"/>
      <c r="B194" s="113" t="n"/>
      <c r="C194" s="81" t="n"/>
      <c r="D194" s="81" t="n"/>
      <c r="E194" s="81" t="n"/>
      <c r="F194" s="81" t="n"/>
      <c r="G194" s="81" t="n"/>
      <c r="H194" s="81" t="n"/>
      <c r="I194" s="81" t="n"/>
      <c r="J194" s="81" t="n"/>
      <c r="K194" s="81" t="n"/>
      <c r="L194" s="113" t="n"/>
      <c r="M194" s="81" t="n"/>
      <c r="N194" s="81" t="n"/>
      <c r="O194" s="81" t="n"/>
      <c r="P194" s="81" t="n"/>
      <c r="Q194" s="113" t="n"/>
      <c r="R194" s="113" t="n"/>
      <c r="S194" s="113" t="n"/>
      <c r="T194" s="81" t="n"/>
      <c r="U194" s="81" t="n"/>
      <c r="V194" s="113" t="n"/>
      <c r="W194" s="81" t="n"/>
      <c r="X194" s="81" t="n"/>
      <c r="Y194" s="81" t="n"/>
      <c r="Z194" s="81" t="n"/>
      <c r="AA194" s="81" t="n"/>
      <c r="AB194" s="81" t="n"/>
      <c r="AC194" s="81" t="n"/>
      <c r="AD194" s="81" t="n"/>
      <c r="AE194" s="81" t="n"/>
      <c r="AF194" s="81" t="n"/>
      <c r="AG194" s="81" t="n"/>
      <c r="AH194" s="113" t="n"/>
      <c r="AI194" s="81" t="n"/>
      <c r="AJ194" s="81" t="n"/>
      <c r="AK194" s="113" t="n"/>
      <c r="AL194" s="81" t="n"/>
      <c r="AM194" s="81" t="n"/>
      <c r="AN194" s="81" t="n"/>
      <c r="AO194" s="113" t="n"/>
      <c r="AP194" s="113" t="n"/>
      <c r="AQ194" s="81" t="n"/>
      <c r="AR194" s="113" t="n"/>
      <c r="AS194" s="113" t="n"/>
      <c r="AT194" s="114" t="n"/>
      <c r="AU194" s="81" t="n"/>
      <c r="AV194" s="114" t="n"/>
      <c r="AW194" s="114" t="n"/>
      <c r="AX194" s="81" t="n"/>
      <c r="AY194" s="113" t="n"/>
      <c r="AZ194" s="115">
        <f>IF($B194="","",COUNTIF(References!$A$4:$A$503,$A194))</f>
        <v/>
      </c>
      <c r="BA194" s="115">
        <f>IF($B194="","",(LEN(A194)=0)+(LEN(B194)=0)+(LEN(D194)=0)+(LEN(G194)=0)+(LEN(H194)=0)+(LEN(I194)=0)+(LEN(J194)=0)+(LEN(L194)=0)+(LEN(M194)=0)+(LEN(O194)=0)+(LEN(R194)=0)+(LEN(X194)=0)+(LEN(AI194)=0)+(LEN(AJ194)=0)+(LEN(AQ194)=0)+(LEN(AR194)=0)+(LEN(AT194)=0)+(LEN(AU194)=0)+(LEN(AV194)=0)+(LEN(AX194)=0))</f>
        <v/>
      </c>
      <c r="BB194" s="115">
        <f>IF($B194="","",IF(AND(BA194=0,AZ194&gt;=1),"Complete","Incomplete"))</f>
        <v/>
      </c>
    </row>
    <row r="195" ht="15" customHeight="1" s="62">
      <c r="A195" s="81" t="n"/>
      <c r="B195" s="113" t="n"/>
      <c r="C195" s="81" t="n"/>
      <c r="D195" s="81" t="n"/>
      <c r="E195" s="81" t="n"/>
      <c r="F195" s="81" t="n"/>
      <c r="G195" s="81" t="n"/>
      <c r="H195" s="81" t="n"/>
      <c r="I195" s="81" t="n"/>
      <c r="J195" s="81" t="n"/>
      <c r="K195" s="81" t="n"/>
      <c r="L195" s="113" t="n"/>
      <c r="M195" s="81" t="n"/>
      <c r="N195" s="81" t="n"/>
      <c r="O195" s="81" t="n"/>
      <c r="P195" s="81" t="n"/>
      <c r="Q195" s="113" t="n"/>
      <c r="R195" s="113" t="n"/>
      <c r="S195" s="113" t="n"/>
      <c r="T195" s="81" t="n"/>
      <c r="U195" s="81" t="n"/>
      <c r="V195" s="113" t="n"/>
      <c r="W195" s="81" t="n"/>
      <c r="X195" s="81" t="n"/>
      <c r="Y195" s="81" t="n"/>
      <c r="Z195" s="81" t="n"/>
      <c r="AA195" s="81" t="n"/>
      <c r="AB195" s="81" t="n"/>
      <c r="AC195" s="81" t="n"/>
      <c r="AD195" s="81" t="n"/>
      <c r="AE195" s="81" t="n"/>
      <c r="AF195" s="81" t="n"/>
      <c r="AG195" s="81" t="n"/>
      <c r="AH195" s="113" t="n"/>
      <c r="AI195" s="81" t="n"/>
      <c r="AJ195" s="81" t="n"/>
      <c r="AK195" s="113" t="n"/>
      <c r="AL195" s="81" t="n"/>
      <c r="AM195" s="81" t="n"/>
      <c r="AN195" s="81" t="n"/>
      <c r="AO195" s="113" t="n"/>
      <c r="AP195" s="113" t="n"/>
      <c r="AQ195" s="81" t="n"/>
      <c r="AR195" s="113" t="n"/>
      <c r="AS195" s="113" t="n"/>
      <c r="AT195" s="114" t="n"/>
      <c r="AU195" s="81" t="n"/>
      <c r="AV195" s="114" t="n"/>
      <c r="AW195" s="114" t="n"/>
      <c r="AX195" s="81" t="n"/>
      <c r="AY195" s="113" t="n"/>
      <c r="AZ195" s="115">
        <f>IF($B195="","",COUNTIF(References!$A$4:$A$503,$A195))</f>
        <v/>
      </c>
      <c r="BA195" s="115">
        <f>IF($B195="","",(LEN(A195)=0)+(LEN(B195)=0)+(LEN(D195)=0)+(LEN(G195)=0)+(LEN(H195)=0)+(LEN(I195)=0)+(LEN(J195)=0)+(LEN(L195)=0)+(LEN(M195)=0)+(LEN(O195)=0)+(LEN(R195)=0)+(LEN(X195)=0)+(LEN(AI195)=0)+(LEN(AJ195)=0)+(LEN(AQ195)=0)+(LEN(AR195)=0)+(LEN(AT195)=0)+(LEN(AU195)=0)+(LEN(AV195)=0)+(LEN(AX195)=0))</f>
        <v/>
      </c>
      <c r="BB195" s="115">
        <f>IF($B195="","",IF(AND(BA195=0,AZ195&gt;=1),"Complete","Incomplete"))</f>
        <v/>
      </c>
    </row>
    <row r="196" ht="15" customHeight="1" s="62">
      <c r="A196" s="81" t="n"/>
      <c r="B196" s="113" t="n"/>
      <c r="C196" s="81" t="n"/>
      <c r="D196" s="81" t="n"/>
      <c r="E196" s="81" t="n"/>
      <c r="F196" s="81" t="n"/>
      <c r="G196" s="81" t="n"/>
      <c r="H196" s="81" t="n"/>
      <c r="I196" s="81" t="n"/>
      <c r="J196" s="81" t="n"/>
      <c r="K196" s="81" t="n"/>
      <c r="L196" s="113" t="n"/>
      <c r="M196" s="81" t="n"/>
      <c r="N196" s="81" t="n"/>
      <c r="O196" s="81" t="n"/>
      <c r="P196" s="81" t="n"/>
      <c r="Q196" s="113" t="n"/>
      <c r="R196" s="113" t="n"/>
      <c r="S196" s="113" t="n"/>
      <c r="T196" s="81" t="n"/>
      <c r="U196" s="81" t="n"/>
      <c r="V196" s="113" t="n"/>
      <c r="W196" s="81" t="n"/>
      <c r="X196" s="81" t="n"/>
      <c r="Y196" s="81" t="n"/>
      <c r="Z196" s="81" t="n"/>
      <c r="AA196" s="81" t="n"/>
      <c r="AB196" s="81" t="n"/>
      <c r="AC196" s="81" t="n"/>
      <c r="AD196" s="81" t="n"/>
      <c r="AE196" s="81" t="n"/>
      <c r="AF196" s="81" t="n"/>
      <c r="AG196" s="81" t="n"/>
      <c r="AH196" s="113" t="n"/>
      <c r="AI196" s="81" t="n"/>
      <c r="AJ196" s="81" t="n"/>
      <c r="AK196" s="113" t="n"/>
      <c r="AL196" s="81" t="n"/>
      <c r="AM196" s="81" t="n"/>
      <c r="AN196" s="81" t="n"/>
      <c r="AO196" s="113" t="n"/>
      <c r="AP196" s="113" t="n"/>
      <c r="AQ196" s="81" t="n"/>
      <c r="AR196" s="113" t="n"/>
      <c r="AS196" s="113" t="n"/>
      <c r="AT196" s="114" t="n"/>
      <c r="AU196" s="81" t="n"/>
      <c r="AV196" s="114" t="n"/>
      <c r="AW196" s="114" t="n"/>
      <c r="AX196" s="81" t="n"/>
      <c r="AY196" s="113" t="n"/>
      <c r="AZ196" s="115">
        <f>IF($B196="","",COUNTIF(References!$A$4:$A$503,$A196))</f>
        <v/>
      </c>
      <c r="BA196" s="115">
        <f>IF($B196="","",(LEN(A196)=0)+(LEN(B196)=0)+(LEN(D196)=0)+(LEN(G196)=0)+(LEN(H196)=0)+(LEN(I196)=0)+(LEN(J196)=0)+(LEN(L196)=0)+(LEN(M196)=0)+(LEN(O196)=0)+(LEN(R196)=0)+(LEN(X196)=0)+(LEN(AI196)=0)+(LEN(AJ196)=0)+(LEN(AQ196)=0)+(LEN(AR196)=0)+(LEN(AT196)=0)+(LEN(AU196)=0)+(LEN(AV196)=0)+(LEN(AX196)=0))</f>
        <v/>
      </c>
      <c r="BB196" s="115">
        <f>IF($B196="","",IF(AND(BA196=0,AZ196&gt;=1),"Complete","Incomplete"))</f>
        <v/>
      </c>
    </row>
    <row r="197" ht="15" customHeight="1" s="62">
      <c r="A197" s="81" t="n"/>
      <c r="B197" s="113" t="n"/>
      <c r="C197" s="81" t="n"/>
      <c r="D197" s="81" t="n"/>
      <c r="E197" s="81" t="n"/>
      <c r="F197" s="81" t="n"/>
      <c r="G197" s="81" t="n"/>
      <c r="H197" s="81" t="n"/>
      <c r="I197" s="81" t="n"/>
      <c r="J197" s="81" t="n"/>
      <c r="K197" s="81" t="n"/>
      <c r="L197" s="113" t="n"/>
      <c r="M197" s="81" t="n"/>
      <c r="N197" s="81" t="n"/>
      <c r="O197" s="81" t="n"/>
      <c r="P197" s="81" t="n"/>
      <c r="Q197" s="113" t="n"/>
      <c r="R197" s="113" t="n"/>
      <c r="S197" s="113" t="n"/>
      <c r="T197" s="81" t="n"/>
      <c r="U197" s="81" t="n"/>
      <c r="V197" s="113" t="n"/>
      <c r="W197" s="81" t="n"/>
      <c r="X197" s="81" t="n"/>
      <c r="Y197" s="81" t="n"/>
      <c r="Z197" s="81" t="n"/>
      <c r="AA197" s="81" t="n"/>
      <c r="AB197" s="81" t="n"/>
      <c r="AC197" s="81" t="n"/>
      <c r="AD197" s="81" t="n"/>
      <c r="AE197" s="81" t="n"/>
      <c r="AF197" s="81" t="n"/>
      <c r="AG197" s="81" t="n"/>
      <c r="AH197" s="113" t="n"/>
      <c r="AI197" s="81" t="n"/>
      <c r="AJ197" s="81" t="n"/>
      <c r="AK197" s="113" t="n"/>
      <c r="AL197" s="81" t="n"/>
      <c r="AM197" s="81" t="n"/>
      <c r="AN197" s="81" t="n"/>
      <c r="AO197" s="113" t="n"/>
      <c r="AP197" s="113" t="n"/>
      <c r="AQ197" s="81" t="n"/>
      <c r="AR197" s="113" t="n"/>
      <c r="AS197" s="113" t="n"/>
      <c r="AT197" s="114" t="n"/>
      <c r="AU197" s="81" t="n"/>
      <c r="AV197" s="114" t="n"/>
      <c r="AW197" s="114" t="n"/>
      <c r="AX197" s="81" t="n"/>
      <c r="AY197" s="113" t="n"/>
      <c r="AZ197" s="115">
        <f>IF($B197="","",COUNTIF(References!$A$4:$A$503,$A197))</f>
        <v/>
      </c>
      <c r="BA197" s="115">
        <f>IF($B197="","",(LEN(A197)=0)+(LEN(B197)=0)+(LEN(D197)=0)+(LEN(G197)=0)+(LEN(H197)=0)+(LEN(I197)=0)+(LEN(J197)=0)+(LEN(L197)=0)+(LEN(M197)=0)+(LEN(O197)=0)+(LEN(R197)=0)+(LEN(X197)=0)+(LEN(AI197)=0)+(LEN(AJ197)=0)+(LEN(AQ197)=0)+(LEN(AR197)=0)+(LEN(AT197)=0)+(LEN(AU197)=0)+(LEN(AV197)=0)+(LEN(AX197)=0))</f>
        <v/>
      </c>
      <c r="BB197" s="115">
        <f>IF($B197="","",IF(AND(BA197=0,AZ197&gt;=1),"Complete","Incomplete"))</f>
        <v/>
      </c>
    </row>
    <row r="198" ht="15" customHeight="1" s="62">
      <c r="A198" s="81" t="n"/>
      <c r="B198" s="113" t="n"/>
      <c r="C198" s="81" t="n"/>
      <c r="D198" s="81" t="n"/>
      <c r="E198" s="81" t="n"/>
      <c r="F198" s="81" t="n"/>
      <c r="G198" s="81" t="n"/>
      <c r="H198" s="81" t="n"/>
      <c r="I198" s="81" t="n"/>
      <c r="J198" s="81" t="n"/>
      <c r="K198" s="81" t="n"/>
      <c r="L198" s="113" t="n"/>
      <c r="M198" s="81" t="n"/>
      <c r="N198" s="81" t="n"/>
      <c r="O198" s="81" t="n"/>
      <c r="P198" s="81" t="n"/>
      <c r="Q198" s="113" t="n"/>
      <c r="R198" s="113" t="n"/>
      <c r="S198" s="113" t="n"/>
      <c r="T198" s="81" t="n"/>
      <c r="U198" s="81" t="n"/>
      <c r="V198" s="113" t="n"/>
      <c r="W198" s="81" t="n"/>
      <c r="X198" s="81" t="n"/>
      <c r="Y198" s="81" t="n"/>
      <c r="Z198" s="81" t="n"/>
      <c r="AA198" s="81" t="n"/>
      <c r="AB198" s="81" t="n"/>
      <c r="AC198" s="81" t="n"/>
      <c r="AD198" s="81" t="n"/>
      <c r="AE198" s="81" t="n"/>
      <c r="AF198" s="81" t="n"/>
      <c r="AG198" s="81" t="n"/>
      <c r="AH198" s="113" t="n"/>
      <c r="AI198" s="81" t="n"/>
      <c r="AJ198" s="81" t="n"/>
      <c r="AK198" s="113" t="n"/>
      <c r="AL198" s="81" t="n"/>
      <c r="AM198" s="81" t="n"/>
      <c r="AN198" s="81" t="n"/>
      <c r="AO198" s="113" t="n"/>
      <c r="AP198" s="113" t="n"/>
      <c r="AQ198" s="81" t="n"/>
      <c r="AR198" s="113" t="n"/>
      <c r="AS198" s="113" t="n"/>
      <c r="AT198" s="114" t="n"/>
      <c r="AU198" s="81" t="n"/>
      <c r="AV198" s="114" t="n"/>
      <c r="AW198" s="114" t="n"/>
      <c r="AX198" s="81" t="n"/>
      <c r="AY198" s="113" t="n"/>
      <c r="AZ198" s="115">
        <f>IF($B198="","",COUNTIF(References!$A$4:$A$503,$A198))</f>
        <v/>
      </c>
      <c r="BA198" s="115">
        <f>IF($B198="","",(LEN(A198)=0)+(LEN(B198)=0)+(LEN(D198)=0)+(LEN(G198)=0)+(LEN(H198)=0)+(LEN(I198)=0)+(LEN(J198)=0)+(LEN(L198)=0)+(LEN(M198)=0)+(LEN(O198)=0)+(LEN(R198)=0)+(LEN(X198)=0)+(LEN(AI198)=0)+(LEN(AJ198)=0)+(LEN(AQ198)=0)+(LEN(AR198)=0)+(LEN(AT198)=0)+(LEN(AU198)=0)+(LEN(AV198)=0)+(LEN(AX198)=0))</f>
        <v/>
      </c>
      <c r="BB198" s="115">
        <f>IF($B198="","",IF(AND(BA198=0,AZ198&gt;=1),"Complete","Incomplete"))</f>
        <v/>
      </c>
    </row>
    <row r="199" ht="15" customHeight="1" s="62">
      <c r="A199" s="81" t="n"/>
      <c r="B199" s="113" t="n"/>
      <c r="C199" s="81" t="n"/>
      <c r="D199" s="81" t="n"/>
      <c r="E199" s="81" t="n"/>
      <c r="F199" s="81" t="n"/>
      <c r="G199" s="81" t="n"/>
      <c r="H199" s="81" t="n"/>
      <c r="I199" s="81" t="n"/>
      <c r="J199" s="81" t="n"/>
      <c r="K199" s="81" t="n"/>
      <c r="L199" s="113" t="n"/>
      <c r="M199" s="81" t="n"/>
      <c r="N199" s="81" t="n"/>
      <c r="O199" s="81" t="n"/>
      <c r="P199" s="81" t="n"/>
      <c r="Q199" s="113" t="n"/>
      <c r="R199" s="113" t="n"/>
      <c r="S199" s="113" t="n"/>
      <c r="T199" s="81" t="n"/>
      <c r="U199" s="81" t="n"/>
      <c r="V199" s="113" t="n"/>
      <c r="W199" s="81" t="n"/>
      <c r="X199" s="81" t="n"/>
      <c r="Y199" s="81" t="n"/>
      <c r="Z199" s="81" t="n"/>
      <c r="AA199" s="81" t="n"/>
      <c r="AB199" s="81" t="n"/>
      <c r="AC199" s="81" t="n"/>
      <c r="AD199" s="81" t="n"/>
      <c r="AE199" s="81" t="n"/>
      <c r="AF199" s="81" t="n"/>
      <c r="AG199" s="81" t="n"/>
      <c r="AH199" s="113" t="n"/>
      <c r="AI199" s="81" t="n"/>
      <c r="AJ199" s="81" t="n"/>
      <c r="AK199" s="113" t="n"/>
      <c r="AL199" s="81" t="n"/>
      <c r="AM199" s="81" t="n"/>
      <c r="AN199" s="81" t="n"/>
      <c r="AO199" s="113" t="n"/>
      <c r="AP199" s="113" t="n"/>
      <c r="AQ199" s="81" t="n"/>
      <c r="AR199" s="113" t="n"/>
      <c r="AS199" s="113" t="n"/>
      <c r="AT199" s="114" t="n"/>
      <c r="AU199" s="81" t="n"/>
      <c r="AV199" s="114" t="n"/>
      <c r="AW199" s="114" t="n"/>
      <c r="AX199" s="81" t="n"/>
      <c r="AY199" s="113" t="n"/>
      <c r="AZ199" s="115">
        <f>IF($B199="","",COUNTIF(References!$A$4:$A$503,$A199))</f>
        <v/>
      </c>
      <c r="BA199" s="115">
        <f>IF($B199="","",(LEN(A199)=0)+(LEN(B199)=0)+(LEN(D199)=0)+(LEN(G199)=0)+(LEN(H199)=0)+(LEN(I199)=0)+(LEN(J199)=0)+(LEN(L199)=0)+(LEN(M199)=0)+(LEN(O199)=0)+(LEN(R199)=0)+(LEN(X199)=0)+(LEN(AI199)=0)+(LEN(AJ199)=0)+(LEN(AQ199)=0)+(LEN(AR199)=0)+(LEN(AT199)=0)+(LEN(AU199)=0)+(LEN(AV199)=0)+(LEN(AX199)=0))</f>
        <v/>
      </c>
      <c r="BB199" s="115">
        <f>IF($B199="","",IF(AND(BA199=0,AZ199&gt;=1),"Complete","Incomplete"))</f>
        <v/>
      </c>
    </row>
    <row r="200" ht="15" customHeight="1" s="62">
      <c r="A200" s="81" t="n"/>
      <c r="B200" s="113" t="n"/>
      <c r="C200" s="81" t="n"/>
      <c r="D200" s="81" t="n"/>
      <c r="E200" s="81" t="n"/>
      <c r="F200" s="81" t="n"/>
      <c r="G200" s="81" t="n"/>
      <c r="H200" s="81" t="n"/>
      <c r="I200" s="81" t="n"/>
      <c r="J200" s="81" t="n"/>
      <c r="K200" s="81" t="n"/>
      <c r="L200" s="113" t="n"/>
      <c r="M200" s="81" t="n"/>
      <c r="N200" s="81" t="n"/>
      <c r="O200" s="81" t="n"/>
      <c r="P200" s="81" t="n"/>
      <c r="Q200" s="113" t="n"/>
      <c r="R200" s="113" t="n"/>
      <c r="S200" s="113" t="n"/>
      <c r="T200" s="81" t="n"/>
      <c r="U200" s="81" t="n"/>
      <c r="V200" s="113" t="n"/>
      <c r="W200" s="81" t="n"/>
      <c r="X200" s="81" t="n"/>
      <c r="Y200" s="81" t="n"/>
      <c r="Z200" s="81" t="n"/>
      <c r="AA200" s="81" t="n"/>
      <c r="AB200" s="81" t="n"/>
      <c r="AC200" s="81" t="n"/>
      <c r="AD200" s="81" t="n"/>
      <c r="AE200" s="81" t="n"/>
      <c r="AF200" s="81" t="n"/>
      <c r="AG200" s="81" t="n"/>
      <c r="AH200" s="113" t="n"/>
      <c r="AI200" s="81" t="n"/>
      <c r="AJ200" s="81" t="n"/>
      <c r="AK200" s="113" t="n"/>
      <c r="AL200" s="81" t="n"/>
      <c r="AM200" s="81" t="n"/>
      <c r="AN200" s="81" t="n"/>
      <c r="AO200" s="113" t="n"/>
      <c r="AP200" s="113" t="n"/>
      <c r="AQ200" s="81" t="n"/>
      <c r="AR200" s="113" t="n"/>
      <c r="AS200" s="113" t="n"/>
      <c r="AT200" s="114" t="n"/>
      <c r="AU200" s="81" t="n"/>
      <c r="AV200" s="114" t="n"/>
      <c r="AW200" s="114" t="n"/>
      <c r="AX200" s="81" t="n"/>
      <c r="AY200" s="113" t="n"/>
      <c r="AZ200" s="115">
        <f>IF($B200="","",COUNTIF(References!$A$4:$A$503,$A200))</f>
        <v/>
      </c>
      <c r="BA200" s="115">
        <f>IF($B200="","",(LEN(A200)=0)+(LEN(B200)=0)+(LEN(D200)=0)+(LEN(G200)=0)+(LEN(H200)=0)+(LEN(I200)=0)+(LEN(J200)=0)+(LEN(L200)=0)+(LEN(M200)=0)+(LEN(O200)=0)+(LEN(R200)=0)+(LEN(X200)=0)+(LEN(AI200)=0)+(LEN(AJ200)=0)+(LEN(AQ200)=0)+(LEN(AR200)=0)+(LEN(AT200)=0)+(LEN(AU200)=0)+(LEN(AV200)=0)+(LEN(AX200)=0))</f>
        <v/>
      </c>
      <c r="BB200" s="115">
        <f>IF($B200="","",IF(AND(BA200=0,AZ200&gt;=1),"Complete","Incomplete"))</f>
        <v/>
      </c>
    </row>
    <row r="201" ht="15" customHeight="1" s="62">
      <c r="A201" s="81" t="n"/>
      <c r="B201" s="113" t="n"/>
      <c r="C201" s="81" t="n"/>
      <c r="D201" s="81" t="n"/>
      <c r="E201" s="81" t="n"/>
      <c r="F201" s="81" t="n"/>
      <c r="G201" s="81" t="n"/>
      <c r="H201" s="81" t="n"/>
      <c r="I201" s="81" t="n"/>
      <c r="J201" s="81" t="n"/>
      <c r="K201" s="81" t="n"/>
      <c r="L201" s="113" t="n"/>
      <c r="M201" s="81" t="n"/>
      <c r="N201" s="81" t="n"/>
      <c r="O201" s="81" t="n"/>
      <c r="P201" s="81" t="n"/>
      <c r="Q201" s="113" t="n"/>
      <c r="R201" s="113" t="n"/>
      <c r="S201" s="113" t="n"/>
      <c r="T201" s="81" t="n"/>
      <c r="U201" s="81" t="n"/>
      <c r="V201" s="113" t="n"/>
      <c r="W201" s="81" t="n"/>
      <c r="X201" s="81" t="n"/>
      <c r="Y201" s="81" t="n"/>
      <c r="Z201" s="81" t="n"/>
      <c r="AA201" s="81" t="n"/>
      <c r="AB201" s="81" t="n"/>
      <c r="AC201" s="81" t="n"/>
      <c r="AD201" s="81" t="n"/>
      <c r="AE201" s="81" t="n"/>
      <c r="AF201" s="81" t="n"/>
      <c r="AG201" s="81" t="n"/>
      <c r="AH201" s="113" t="n"/>
      <c r="AI201" s="81" t="n"/>
      <c r="AJ201" s="81" t="n"/>
      <c r="AK201" s="113" t="n"/>
      <c r="AL201" s="81" t="n"/>
      <c r="AM201" s="81" t="n"/>
      <c r="AN201" s="81" t="n"/>
      <c r="AO201" s="113" t="n"/>
      <c r="AP201" s="113" t="n"/>
      <c r="AQ201" s="81" t="n"/>
      <c r="AR201" s="113" t="n"/>
      <c r="AS201" s="113" t="n"/>
      <c r="AT201" s="114" t="n"/>
      <c r="AU201" s="81" t="n"/>
      <c r="AV201" s="114" t="n"/>
      <c r="AW201" s="114" t="n"/>
      <c r="AX201" s="81" t="n"/>
      <c r="AY201" s="113" t="n"/>
      <c r="AZ201" s="115">
        <f>IF($B201="","",COUNTIF(References!$A$4:$A$503,$A201))</f>
        <v/>
      </c>
      <c r="BA201" s="115">
        <f>IF($B201="","",(LEN(A201)=0)+(LEN(B201)=0)+(LEN(D201)=0)+(LEN(G201)=0)+(LEN(H201)=0)+(LEN(I201)=0)+(LEN(J201)=0)+(LEN(L201)=0)+(LEN(M201)=0)+(LEN(O201)=0)+(LEN(R201)=0)+(LEN(X201)=0)+(LEN(AI201)=0)+(LEN(AJ201)=0)+(LEN(AQ201)=0)+(LEN(AR201)=0)+(LEN(AT201)=0)+(LEN(AU201)=0)+(LEN(AV201)=0)+(LEN(AX201)=0))</f>
        <v/>
      </c>
      <c r="BB201" s="115">
        <f>IF($B201="","",IF(AND(BA201=0,AZ201&gt;=1),"Complete","Incomplete"))</f>
        <v/>
      </c>
    </row>
    <row r="202" ht="15" customHeight="1" s="62">
      <c r="A202" s="81" t="n"/>
      <c r="B202" s="113" t="n"/>
      <c r="C202" s="81" t="n"/>
      <c r="D202" s="81" t="n"/>
      <c r="E202" s="81" t="n"/>
      <c r="F202" s="81" t="n"/>
      <c r="G202" s="81" t="n"/>
      <c r="H202" s="81" t="n"/>
      <c r="I202" s="81" t="n"/>
      <c r="J202" s="81" t="n"/>
      <c r="K202" s="81" t="n"/>
      <c r="L202" s="113" t="n"/>
      <c r="M202" s="81" t="n"/>
      <c r="N202" s="81" t="n"/>
      <c r="O202" s="81" t="n"/>
      <c r="P202" s="81" t="n"/>
      <c r="Q202" s="113" t="n"/>
      <c r="R202" s="113" t="n"/>
      <c r="S202" s="113" t="n"/>
      <c r="T202" s="81" t="n"/>
      <c r="U202" s="81" t="n"/>
      <c r="V202" s="113" t="n"/>
      <c r="W202" s="81" t="n"/>
      <c r="X202" s="81" t="n"/>
      <c r="Y202" s="81" t="n"/>
      <c r="Z202" s="81" t="n"/>
      <c r="AA202" s="81" t="n"/>
      <c r="AB202" s="81" t="n"/>
      <c r="AC202" s="81" t="n"/>
      <c r="AD202" s="81" t="n"/>
      <c r="AE202" s="81" t="n"/>
      <c r="AF202" s="81" t="n"/>
      <c r="AG202" s="81" t="n"/>
      <c r="AH202" s="113" t="n"/>
      <c r="AI202" s="81" t="n"/>
      <c r="AJ202" s="81" t="n"/>
      <c r="AK202" s="113" t="n"/>
      <c r="AL202" s="81" t="n"/>
      <c r="AM202" s="81" t="n"/>
      <c r="AN202" s="81" t="n"/>
      <c r="AO202" s="113" t="n"/>
      <c r="AP202" s="113" t="n"/>
      <c r="AQ202" s="81" t="n"/>
      <c r="AR202" s="113" t="n"/>
      <c r="AS202" s="113" t="n"/>
      <c r="AT202" s="114" t="n"/>
      <c r="AU202" s="81" t="n"/>
      <c r="AV202" s="114" t="n"/>
      <c r="AW202" s="114" t="n"/>
      <c r="AX202" s="81" t="n"/>
      <c r="AY202" s="113" t="n"/>
      <c r="AZ202" s="115">
        <f>IF($B202="","",COUNTIF(References!$A$4:$A$503,$A202))</f>
        <v/>
      </c>
      <c r="BA202" s="115">
        <f>IF($B202="","",(LEN(A202)=0)+(LEN(B202)=0)+(LEN(D202)=0)+(LEN(G202)=0)+(LEN(H202)=0)+(LEN(I202)=0)+(LEN(J202)=0)+(LEN(L202)=0)+(LEN(M202)=0)+(LEN(O202)=0)+(LEN(R202)=0)+(LEN(X202)=0)+(LEN(AI202)=0)+(LEN(AJ202)=0)+(LEN(AQ202)=0)+(LEN(AR202)=0)+(LEN(AT202)=0)+(LEN(AU202)=0)+(LEN(AV202)=0)+(LEN(AX202)=0))</f>
        <v/>
      </c>
      <c r="BB202" s="115">
        <f>IF($B202="","",IF(AND(BA202=0,AZ202&gt;=1),"Complete","Incomplete"))</f>
        <v/>
      </c>
    </row>
    <row r="203" ht="15" customHeight="1" s="62">
      <c r="A203" s="81" t="n"/>
      <c r="B203" s="113" t="n"/>
      <c r="C203" s="81" t="n"/>
      <c r="D203" s="81" t="n"/>
      <c r="E203" s="81" t="n"/>
      <c r="F203" s="81" t="n"/>
      <c r="G203" s="81" t="n"/>
      <c r="H203" s="81" t="n"/>
      <c r="I203" s="81" t="n"/>
      <c r="J203" s="81" t="n"/>
      <c r="K203" s="81" t="n"/>
      <c r="L203" s="113" t="n"/>
      <c r="M203" s="81" t="n"/>
      <c r="N203" s="81" t="n"/>
      <c r="O203" s="81" t="n"/>
      <c r="P203" s="81" t="n"/>
      <c r="Q203" s="113" t="n"/>
      <c r="R203" s="113" t="n"/>
      <c r="S203" s="113" t="n"/>
      <c r="T203" s="81" t="n"/>
      <c r="U203" s="81" t="n"/>
      <c r="V203" s="113" t="n"/>
      <c r="W203" s="81" t="n"/>
      <c r="X203" s="81" t="n"/>
      <c r="Y203" s="81" t="n"/>
      <c r="Z203" s="81" t="n"/>
      <c r="AA203" s="81" t="n"/>
      <c r="AB203" s="81" t="n"/>
      <c r="AC203" s="81" t="n"/>
      <c r="AD203" s="81" t="n"/>
      <c r="AE203" s="81" t="n"/>
      <c r="AF203" s="81" t="n"/>
      <c r="AG203" s="81" t="n"/>
      <c r="AH203" s="113" t="n"/>
      <c r="AI203" s="81" t="n"/>
      <c r="AJ203" s="81" t="n"/>
      <c r="AK203" s="113" t="n"/>
      <c r="AL203" s="81" t="n"/>
      <c r="AM203" s="81" t="n"/>
      <c r="AN203" s="81" t="n"/>
      <c r="AO203" s="113" t="n"/>
      <c r="AP203" s="113" t="n"/>
      <c r="AQ203" s="81" t="n"/>
      <c r="AR203" s="113" t="n"/>
      <c r="AS203" s="113" t="n"/>
      <c r="AT203" s="114" t="n"/>
      <c r="AU203" s="81" t="n"/>
      <c r="AV203" s="114" t="n"/>
      <c r="AW203" s="114" t="n"/>
      <c r="AX203" s="81" t="n"/>
      <c r="AY203" s="113" t="n"/>
      <c r="AZ203" s="115">
        <f>IF($B203="","",COUNTIF(References!$A$4:$A$503,$A203))</f>
        <v/>
      </c>
      <c r="BA203" s="115">
        <f>IF($B203="","",(LEN(A203)=0)+(LEN(B203)=0)+(LEN(D203)=0)+(LEN(G203)=0)+(LEN(H203)=0)+(LEN(I203)=0)+(LEN(J203)=0)+(LEN(L203)=0)+(LEN(M203)=0)+(LEN(O203)=0)+(LEN(R203)=0)+(LEN(X203)=0)+(LEN(AI203)=0)+(LEN(AJ203)=0)+(LEN(AQ203)=0)+(LEN(AR203)=0)+(LEN(AT203)=0)+(LEN(AU203)=0)+(LEN(AV203)=0)+(LEN(AX203)=0))</f>
        <v/>
      </c>
      <c r="BB203" s="115">
        <f>IF($B203="","",IF(AND(BA203=0,AZ203&gt;=1),"Complete","Incomplete"))</f>
        <v/>
      </c>
    </row>
    <row r="204" ht="15" customHeight="1" s="62">
      <c r="A204" s="81" t="n"/>
      <c r="B204" s="113" t="n"/>
      <c r="C204" s="81" t="n"/>
      <c r="D204" s="81" t="n"/>
      <c r="E204" s="81" t="n"/>
      <c r="F204" s="81" t="n"/>
      <c r="G204" s="81" t="n"/>
      <c r="H204" s="81" t="n"/>
      <c r="I204" s="81" t="n"/>
      <c r="J204" s="81" t="n"/>
      <c r="K204" s="81" t="n"/>
      <c r="L204" s="113" t="n"/>
      <c r="M204" s="81" t="n"/>
      <c r="N204" s="81" t="n"/>
      <c r="O204" s="81" t="n"/>
      <c r="P204" s="81" t="n"/>
      <c r="Q204" s="113" t="n"/>
      <c r="R204" s="113" t="n"/>
      <c r="S204" s="113" t="n"/>
      <c r="T204" s="81" t="n"/>
      <c r="U204" s="81" t="n"/>
      <c r="V204" s="113" t="n"/>
      <c r="W204" s="81" t="n"/>
      <c r="X204" s="81" t="n"/>
      <c r="Y204" s="81" t="n"/>
      <c r="Z204" s="81" t="n"/>
      <c r="AA204" s="81" t="n"/>
      <c r="AB204" s="81" t="n"/>
      <c r="AC204" s="81" t="n"/>
      <c r="AD204" s="81" t="n"/>
      <c r="AE204" s="81" t="n"/>
      <c r="AF204" s="81" t="n"/>
      <c r="AG204" s="81" t="n"/>
      <c r="AH204" s="113" t="n"/>
      <c r="AI204" s="81" t="n"/>
      <c r="AJ204" s="81" t="n"/>
      <c r="AK204" s="113" t="n"/>
      <c r="AL204" s="81" t="n"/>
      <c r="AM204" s="81" t="n"/>
      <c r="AN204" s="81" t="n"/>
      <c r="AO204" s="113" t="n"/>
      <c r="AP204" s="113" t="n"/>
      <c r="AQ204" s="81" t="n"/>
      <c r="AR204" s="113" t="n"/>
      <c r="AS204" s="113" t="n"/>
      <c r="AT204" s="114" t="n"/>
      <c r="AU204" s="81" t="n"/>
      <c r="AV204" s="114" t="n"/>
      <c r="AW204" s="114" t="n"/>
      <c r="AX204" s="81" t="n"/>
      <c r="AY204" s="113" t="n"/>
      <c r="AZ204" s="115">
        <f>IF($B204="","",COUNTIF(References!$A$4:$A$503,$A204))</f>
        <v/>
      </c>
      <c r="BA204" s="115">
        <f>IF($B204="","",(LEN(A204)=0)+(LEN(B204)=0)+(LEN(D204)=0)+(LEN(G204)=0)+(LEN(H204)=0)+(LEN(I204)=0)+(LEN(J204)=0)+(LEN(L204)=0)+(LEN(M204)=0)+(LEN(O204)=0)+(LEN(R204)=0)+(LEN(X204)=0)+(LEN(AI204)=0)+(LEN(AJ204)=0)+(LEN(AQ204)=0)+(LEN(AR204)=0)+(LEN(AT204)=0)+(LEN(AU204)=0)+(LEN(AV204)=0)+(LEN(AX204)=0))</f>
        <v/>
      </c>
      <c r="BB204" s="115">
        <f>IF($B204="","",IF(AND(BA204=0,AZ204&gt;=1),"Complete","Incomplete"))</f>
        <v/>
      </c>
    </row>
    <row r="205" ht="15" customHeight="1" s="62">
      <c r="A205" s="81" t="n"/>
      <c r="B205" s="113" t="n"/>
      <c r="C205" s="81" t="n"/>
      <c r="D205" s="81" t="n"/>
      <c r="E205" s="81" t="n"/>
      <c r="F205" s="81" t="n"/>
      <c r="G205" s="81" t="n"/>
      <c r="H205" s="81" t="n"/>
      <c r="I205" s="81" t="n"/>
      <c r="J205" s="81" t="n"/>
      <c r="K205" s="81" t="n"/>
      <c r="L205" s="113" t="n"/>
      <c r="M205" s="81" t="n"/>
      <c r="N205" s="81" t="n"/>
      <c r="O205" s="81" t="n"/>
      <c r="P205" s="81" t="n"/>
      <c r="Q205" s="113" t="n"/>
      <c r="R205" s="113" t="n"/>
      <c r="S205" s="113" t="n"/>
      <c r="T205" s="81" t="n"/>
      <c r="U205" s="81" t="n"/>
      <c r="V205" s="113" t="n"/>
      <c r="W205" s="81" t="n"/>
      <c r="X205" s="81" t="n"/>
      <c r="Y205" s="81" t="n"/>
      <c r="Z205" s="81" t="n"/>
      <c r="AA205" s="81" t="n"/>
      <c r="AB205" s="81" t="n"/>
      <c r="AC205" s="81" t="n"/>
      <c r="AD205" s="81" t="n"/>
      <c r="AE205" s="81" t="n"/>
      <c r="AF205" s="81" t="n"/>
      <c r="AG205" s="81" t="n"/>
      <c r="AH205" s="113" t="n"/>
      <c r="AI205" s="81" t="n"/>
      <c r="AJ205" s="81" t="n"/>
      <c r="AK205" s="113" t="n"/>
      <c r="AL205" s="81" t="n"/>
      <c r="AM205" s="81" t="n"/>
      <c r="AN205" s="81" t="n"/>
      <c r="AO205" s="113" t="n"/>
      <c r="AP205" s="113" t="n"/>
      <c r="AQ205" s="81" t="n"/>
      <c r="AR205" s="113" t="n"/>
      <c r="AS205" s="113" t="n"/>
      <c r="AT205" s="114" t="n"/>
      <c r="AU205" s="81" t="n"/>
      <c r="AV205" s="114" t="n"/>
      <c r="AW205" s="114" t="n"/>
      <c r="AX205" s="81" t="n"/>
      <c r="AY205" s="113" t="n"/>
      <c r="AZ205" s="115">
        <f>IF($B205="","",COUNTIF(References!$A$4:$A$503,$A205))</f>
        <v/>
      </c>
      <c r="BA205" s="115">
        <f>IF($B205="","",(LEN(A205)=0)+(LEN(B205)=0)+(LEN(D205)=0)+(LEN(G205)=0)+(LEN(H205)=0)+(LEN(I205)=0)+(LEN(J205)=0)+(LEN(L205)=0)+(LEN(M205)=0)+(LEN(O205)=0)+(LEN(R205)=0)+(LEN(X205)=0)+(LEN(AI205)=0)+(LEN(AJ205)=0)+(LEN(AQ205)=0)+(LEN(AR205)=0)+(LEN(AT205)=0)+(LEN(AU205)=0)+(LEN(AV205)=0)+(LEN(AX205)=0))</f>
        <v/>
      </c>
      <c r="BB205" s="115">
        <f>IF($B205="","",IF(AND(BA205=0,AZ205&gt;=1),"Complete","Incomplete"))</f>
        <v/>
      </c>
    </row>
    <row r="206" ht="15" customHeight="1" s="62">
      <c r="A206" s="81" t="n"/>
      <c r="B206" s="113" t="n"/>
      <c r="C206" s="81" t="n"/>
      <c r="D206" s="81" t="n"/>
      <c r="E206" s="81" t="n"/>
      <c r="F206" s="81" t="n"/>
      <c r="G206" s="81" t="n"/>
      <c r="H206" s="81" t="n"/>
      <c r="I206" s="81" t="n"/>
      <c r="J206" s="81" t="n"/>
      <c r="K206" s="81" t="n"/>
      <c r="L206" s="113" t="n"/>
      <c r="M206" s="81" t="n"/>
      <c r="N206" s="81" t="n"/>
      <c r="O206" s="81" t="n"/>
      <c r="P206" s="81" t="n"/>
      <c r="Q206" s="113" t="n"/>
      <c r="R206" s="113" t="n"/>
      <c r="S206" s="113" t="n"/>
      <c r="T206" s="81" t="n"/>
      <c r="U206" s="81" t="n"/>
      <c r="V206" s="113" t="n"/>
      <c r="W206" s="81" t="n"/>
      <c r="X206" s="81" t="n"/>
      <c r="Y206" s="81" t="n"/>
      <c r="Z206" s="81" t="n"/>
      <c r="AA206" s="81" t="n"/>
      <c r="AB206" s="81" t="n"/>
      <c r="AC206" s="81" t="n"/>
      <c r="AD206" s="81" t="n"/>
      <c r="AE206" s="81" t="n"/>
      <c r="AF206" s="81" t="n"/>
      <c r="AG206" s="81" t="n"/>
      <c r="AH206" s="113" t="n"/>
      <c r="AI206" s="81" t="n"/>
      <c r="AJ206" s="81" t="n"/>
      <c r="AK206" s="113" t="n"/>
      <c r="AL206" s="81" t="n"/>
      <c r="AM206" s="81" t="n"/>
      <c r="AN206" s="81" t="n"/>
      <c r="AO206" s="113" t="n"/>
      <c r="AP206" s="113" t="n"/>
      <c r="AQ206" s="81" t="n"/>
      <c r="AR206" s="113" t="n"/>
      <c r="AS206" s="113" t="n"/>
      <c r="AT206" s="114" t="n"/>
      <c r="AU206" s="81" t="n"/>
      <c r="AV206" s="114" t="n"/>
      <c r="AW206" s="114" t="n"/>
      <c r="AX206" s="81" t="n"/>
      <c r="AY206" s="113" t="n"/>
      <c r="AZ206" s="115">
        <f>IF($B206="","",COUNTIF(References!$A$4:$A$503,$A206))</f>
        <v/>
      </c>
      <c r="BA206" s="115">
        <f>IF($B206="","",(LEN(A206)=0)+(LEN(B206)=0)+(LEN(D206)=0)+(LEN(G206)=0)+(LEN(H206)=0)+(LEN(I206)=0)+(LEN(J206)=0)+(LEN(L206)=0)+(LEN(M206)=0)+(LEN(O206)=0)+(LEN(R206)=0)+(LEN(X206)=0)+(LEN(AI206)=0)+(LEN(AJ206)=0)+(LEN(AQ206)=0)+(LEN(AR206)=0)+(LEN(AT206)=0)+(LEN(AU206)=0)+(LEN(AV206)=0)+(LEN(AX206)=0))</f>
        <v/>
      </c>
      <c r="BB206" s="115">
        <f>IF($B206="","",IF(AND(BA206=0,AZ206&gt;=1),"Complete","Incomplete"))</f>
        <v/>
      </c>
    </row>
    <row r="207" ht="15" customHeight="1" s="62">
      <c r="A207" s="81" t="n"/>
      <c r="B207" s="113" t="n"/>
      <c r="C207" s="81" t="n"/>
      <c r="D207" s="81" t="n"/>
      <c r="E207" s="81" t="n"/>
      <c r="F207" s="81" t="n"/>
      <c r="G207" s="81" t="n"/>
      <c r="H207" s="81" t="n"/>
      <c r="I207" s="81" t="n"/>
      <c r="J207" s="81" t="n"/>
      <c r="K207" s="81" t="n"/>
      <c r="L207" s="113" t="n"/>
      <c r="M207" s="81" t="n"/>
      <c r="N207" s="81" t="n"/>
      <c r="O207" s="81" t="n"/>
      <c r="P207" s="81" t="n"/>
      <c r="Q207" s="113" t="n"/>
      <c r="R207" s="113" t="n"/>
      <c r="S207" s="113" t="n"/>
      <c r="T207" s="81" t="n"/>
      <c r="U207" s="81" t="n"/>
      <c r="V207" s="113" t="n"/>
      <c r="W207" s="81" t="n"/>
      <c r="X207" s="81" t="n"/>
      <c r="Y207" s="81" t="n"/>
      <c r="Z207" s="81" t="n"/>
      <c r="AA207" s="81" t="n"/>
      <c r="AB207" s="81" t="n"/>
      <c r="AC207" s="81" t="n"/>
      <c r="AD207" s="81" t="n"/>
      <c r="AE207" s="81" t="n"/>
      <c r="AF207" s="81" t="n"/>
      <c r="AG207" s="81" t="n"/>
      <c r="AH207" s="113" t="n"/>
      <c r="AI207" s="81" t="n"/>
      <c r="AJ207" s="81" t="n"/>
      <c r="AK207" s="113" t="n"/>
      <c r="AL207" s="81" t="n"/>
      <c r="AM207" s="81" t="n"/>
      <c r="AN207" s="81" t="n"/>
      <c r="AO207" s="113" t="n"/>
      <c r="AP207" s="113" t="n"/>
      <c r="AQ207" s="81" t="n"/>
      <c r="AR207" s="113" t="n"/>
      <c r="AS207" s="113" t="n"/>
      <c r="AT207" s="114" t="n"/>
      <c r="AU207" s="81" t="n"/>
      <c r="AV207" s="114" t="n"/>
      <c r="AW207" s="114" t="n"/>
      <c r="AX207" s="81" t="n"/>
      <c r="AY207" s="113" t="n"/>
      <c r="AZ207" s="115">
        <f>IF($B207="","",COUNTIF(References!$A$4:$A$503,$A207))</f>
        <v/>
      </c>
      <c r="BA207" s="115">
        <f>IF($B207="","",(LEN(A207)=0)+(LEN(B207)=0)+(LEN(D207)=0)+(LEN(G207)=0)+(LEN(H207)=0)+(LEN(I207)=0)+(LEN(J207)=0)+(LEN(L207)=0)+(LEN(M207)=0)+(LEN(O207)=0)+(LEN(R207)=0)+(LEN(X207)=0)+(LEN(AI207)=0)+(LEN(AJ207)=0)+(LEN(AQ207)=0)+(LEN(AR207)=0)+(LEN(AT207)=0)+(LEN(AU207)=0)+(LEN(AV207)=0)+(LEN(AX207)=0))</f>
        <v/>
      </c>
      <c r="BB207" s="115">
        <f>IF($B207="","",IF(AND(BA207=0,AZ207&gt;=1),"Complete","Incomplete"))</f>
        <v/>
      </c>
    </row>
    <row r="208" ht="15" customHeight="1" s="62">
      <c r="A208" s="81" t="n"/>
      <c r="B208" s="113" t="n"/>
      <c r="C208" s="81" t="n"/>
      <c r="D208" s="81" t="n"/>
      <c r="E208" s="81" t="n"/>
      <c r="F208" s="81" t="n"/>
      <c r="G208" s="81" t="n"/>
      <c r="H208" s="81" t="n"/>
      <c r="I208" s="81" t="n"/>
      <c r="J208" s="81" t="n"/>
      <c r="K208" s="81" t="n"/>
      <c r="L208" s="113" t="n"/>
      <c r="M208" s="81" t="n"/>
      <c r="N208" s="81" t="n"/>
      <c r="O208" s="81" t="n"/>
      <c r="P208" s="81" t="n"/>
      <c r="Q208" s="113" t="n"/>
      <c r="R208" s="113" t="n"/>
      <c r="S208" s="113" t="n"/>
      <c r="T208" s="81" t="n"/>
      <c r="U208" s="81" t="n"/>
      <c r="V208" s="113" t="n"/>
      <c r="W208" s="81" t="n"/>
      <c r="X208" s="81" t="n"/>
      <c r="Y208" s="81" t="n"/>
      <c r="Z208" s="81" t="n"/>
      <c r="AA208" s="81" t="n"/>
      <c r="AB208" s="81" t="n"/>
      <c r="AC208" s="81" t="n"/>
      <c r="AD208" s="81" t="n"/>
      <c r="AE208" s="81" t="n"/>
      <c r="AF208" s="81" t="n"/>
      <c r="AG208" s="81" t="n"/>
      <c r="AH208" s="113" t="n"/>
      <c r="AI208" s="81" t="n"/>
      <c r="AJ208" s="81" t="n"/>
      <c r="AK208" s="113" t="n"/>
      <c r="AL208" s="81" t="n"/>
      <c r="AM208" s="81" t="n"/>
      <c r="AN208" s="81" t="n"/>
      <c r="AO208" s="113" t="n"/>
      <c r="AP208" s="113" t="n"/>
      <c r="AQ208" s="81" t="n"/>
      <c r="AR208" s="113" t="n"/>
      <c r="AS208" s="113" t="n"/>
      <c r="AT208" s="114" t="n"/>
      <c r="AU208" s="81" t="n"/>
      <c r="AV208" s="114" t="n"/>
      <c r="AW208" s="114" t="n"/>
      <c r="AX208" s="81" t="n"/>
      <c r="AY208" s="113" t="n"/>
      <c r="AZ208" s="115">
        <f>IF($B208="","",COUNTIF(References!$A$4:$A$503,$A208))</f>
        <v/>
      </c>
      <c r="BA208" s="115">
        <f>IF($B208="","",(LEN(A208)=0)+(LEN(B208)=0)+(LEN(D208)=0)+(LEN(G208)=0)+(LEN(H208)=0)+(LEN(I208)=0)+(LEN(J208)=0)+(LEN(L208)=0)+(LEN(M208)=0)+(LEN(O208)=0)+(LEN(R208)=0)+(LEN(X208)=0)+(LEN(AI208)=0)+(LEN(AJ208)=0)+(LEN(AQ208)=0)+(LEN(AR208)=0)+(LEN(AT208)=0)+(LEN(AU208)=0)+(LEN(AV208)=0)+(LEN(AX208)=0))</f>
        <v/>
      </c>
      <c r="BB208" s="115">
        <f>IF($B208="","",IF(AND(BA208=0,AZ208&gt;=1),"Complete","Incomplete"))</f>
        <v/>
      </c>
    </row>
    <row r="209" ht="15" customHeight="1" s="62">
      <c r="A209" s="81" t="n"/>
      <c r="B209" s="113" t="n"/>
      <c r="C209" s="81" t="n"/>
      <c r="D209" s="81" t="n"/>
      <c r="E209" s="81" t="n"/>
      <c r="F209" s="81" t="n"/>
      <c r="G209" s="81" t="n"/>
      <c r="H209" s="81" t="n"/>
      <c r="I209" s="81" t="n"/>
      <c r="J209" s="81" t="n"/>
      <c r="K209" s="81" t="n"/>
      <c r="L209" s="113" t="n"/>
      <c r="M209" s="81" t="n"/>
      <c r="N209" s="81" t="n"/>
      <c r="O209" s="81" t="n"/>
      <c r="P209" s="81" t="n"/>
      <c r="Q209" s="113" t="n"/>
      <c r="R209" s="113" t="n"/>
      <c r="S209" s="113" t="n"/>
      <c r="T209" s="81" t="n"/>
      <c r="U209" s="81" t="n"/>
      <c r="V209" s="113" t="n"/>
      <c r="W209" s="81" t="n"/>
      <c r="X209" s="81" t="n"/>
      <c r="Y209" s="81" t="n"/>
      <c r="Z209" s="81" t="n"/>
      <c r="AA209" s="81" t="n"/>
      <c r="AB209" s="81" t="n"/>
      <c r="AC209" s="81" t="n"/>
      <c r="AD209" s="81" t="n"/>
      <c r="AE209" s="81" t="n"/>
      <c r="AF209" s="81" t="n"/>
      <c r="AG209" s="81" t="n"/>
      <c r="AH209" s="113" t="n"/>
      <c r="AI209" s="81" t="n"/>
      <c r="AJ209" s="81" t="n"/>
      <c r="AK209" s="113" t="n"/>
      <c r="AL209" s="81" t="n"/>
      <c r="AM209" s="81" t="n"/>
      <c r="AN209" s="81" t="n"/>
      <c r="AO209" s="113" t="n"/>
      <c r="AP209" s="113" t="n"/>
      <c r="AQ209" s="81" t="n"/>
      <c r="AR209" s="113" t="n"/>
      <c r="AS209" s="113" t="n"/>
      <c r="AT209" s="114" t="n"/>
      <c r="AU209" s="81" t="n"/>
      <c r="AV209" s="114" t="n"/>
      <c r="AW209" s="114" t="n"/>
      <c r="AX209" s="81" t="n"/>
      <c r="AY209" s="113" t="n"/>
      <c r="AZ209" s="115">
        <f>IF($B209="","",COUNTIF(References!$A$4:$A$503,$A209))</f>
        <v/>
      </c>
      <c r="BA209" s="115">
        <f>IF($B209="","",(LEN(A209)=0)+(LEN(B209)=0)+(LEN(D209)=0)+(LEN(G209)=0)+(LEN(H209)=0)+(LEN(I209)=0)+(LEN(J209)=0)+(LEN(L209)=0)+(LEN(M209)=0)+(LEN(O209)=0)+(LEN(R209)=0)+(LEN(X209)=0)+(LEN(AI209)=0)+(LEN(AJ209)=0)+(LEN(AQ209)=0)+(LEN(AR209)=0)+(LEN(AT209)=0)+(LEN(AU209)=0)+(LEN(AV209)=0)+(LEN(AX209)=0))</f>
        <v/>
      </c>
      <c r="BB209" s="115">
        <f>IF($B209="","",IF(AND(BA209=0,AZ209&gt;=1),"Complete","Incomplete"))</f>
        <v/>
      </c>
    </row>
    <row r="210" ht="15" customHeight="1" s="62">
      <c r="A210" s="81" t="n"/>
      <c r="B210" s="113" t="n"/>
      <c r="C210" s="81" t="n"/>
      <c r="D210" s="81" t="n"/>
      <c r="E210" s="81" t="n"/>
      <c r="F210" s="81" t="n"/>
      <c r="G210" s="81" t="n"/>
      <c r="H210" s="81" t="n"/>
      <c r="I210" s="81" t="n"/>
      <c r="J210" s="81" t="n"/>
      <c r="K210" s="81" t="n"/>
      <c r="L210" s="113" t="n"/>
      <c r="M210" s="81" t="n"/>
      <c r="N210" s="81" t="n"/>
      <c r="O210" s="81" t="n"/>
      <c r="P210" s="81" t="n"/>
      <c r="Q210" s="113" t="n"/>
      <c r="R210" s="113" t="n"/>
      <c r="S210" s="113" t="n"/>
      <c r="T210" s="81" t="n"/>
      <c r="U210" s="81" t="n"/>
      <c r="V210" s="113" t="n"/>
      <c r="W210" s="81" t="n"/>
      <c r="X210" s="81" t="n"/>
      <c r="Y210" s="81" t="n"/>
      <c r="Z210" s="81" t="n"/>
      <c r="AA210" s="81" t="n"/>
      <c r="AB210" s="81" t="n"/>
      <c r="AC210" s="81" t="n"/>
      <c r="AD210" s="81" t="n"/>
      <c r="AE210" s="81" t="n"/>
      <c r="AF210" s="81" t="n"/>
      <c r="AG210" s="81" t="n"/>
      <c r="AH210" s="113" t="n"/>
      <c r="AI210" s="81" t="n"/>
      <c r="AJ210" s="81" t="n"/>
      <c r="AK210" s="113" t="n"/>
      <c r="AL210" s="81" t="n"/>
      <c r="AM210" s="81" t="n"/>
      <c r="AN210" s="81" t="n"/>
      <c r="AO210" s="113" t="n"/>
      <c r="AP210" s="113" t="n"/>
      <c r="AQ210" s="81" t="n"/>
      <c r="AR210" s="113" t="n"/>
      <c r="AS210" s="113" t="n"/>
      <c r="AT210" s="114" t="n"/>
      <c r="AU210" s="81" t="n"/>
      <c r="AV210" s="114" t="n"/>
      <c r="AW210" s="114" t="n"/>
      <c r="AX210" s="81" t="n"/>
      <c r="AY210" s="113" t="n"/>
      <c r="AZ210" s="115">
        <f>IF($B210="","",COUNTIF(References!$A$4:$A$503,$A210))</f>
        <v/>
      </c>
      <c r="BA210" s="115">
        <f>IF($B210="","",(LEN(A210)=0)+(LEN(B210)=0)+(LEN(D210)=0)+(LEN(G210)=0)+(LEN(H210)=0)+(LEN(I210)=0)+(LEN(J210)=0)+(LEN(L210)=0)+(LEN(M210)=0)+(LEN(O210)=0)+(LEN(R210)=0)+(LEN(X210)=0)+(LEN(AI210)=0)+(LEN(AJ210)=0)+(LEN(AQ210)=0)+(LEN(AR210)=0)+(LEN(AT210)=0)+(LEN(AU210)=0)+(LEN(AV210)=0)+(LEN(AX210)=0))</f>
        <v/>
      </c>
      <c r="BB210" s="115">
        <f>IF($B210="","",IF(AND(BA210=0,AZ210&gt;=1),"Complete","Incomplete"))</f>
        <v/>
      </c>
    </row>
    <row r="211" ht="15" customHeight="1" s="62">
      <c r="A211" s="81" t="n"/>
      <c r="B211" s="113" t="n"/>
      <c r="C211" s="81" t="n"/>
      <c r="D211" s="81" t="n"/>
      <c r="E211" s="81" t="n"/>
      <c r="F211" s="81" t="n"/>
      <c r="G211" s="81" t="n"/>
      <c r="H211" s="81" t="n"/>
      <c r="I211" s="81" t="n"/>
      <c r="J211" s="81" t="n"/>
      <c r="K211" s="81" t="n"/>
      <c r="L211" s="113" t="n"/>
      <c r="M211" s="81" t="n"/>
      <c r="N211" s="81" t="n"/>
      <c r="O211" s="81" t="n"/>
      <c r="P211" s="81" t="n"/>
      <c r="Q211" s="113" t="n"/>
      <c r="R211" s="113" t="n"/>
      <c r="S211" s="113" t="n"/>
      <c r="T211" s="81" t="n"/>
      <c r="U211" s="81" t="n"/>
      <c r="V211" s="113" t="n"/>
      <c r="W211" s="81" t="n"/>
      <c r="X211" s="81" t="n"/>
      <c r="Y211" s="81" t="n"/>
      <c r="Z211" s="81" t="n"/>
      <c r="AA211" s="81" t="n"/>
      <c r="AB211" s="81" t="n"/>
      <c r="AC211" s="81" t="n"/>
      <c r="AD211" s="81" t="n"/>
      <c r="AE211" s="81" t="n"/>
      <c r="AF211" s="81" t="n"/>
      <c r="AG211" s="81" t="n"/>
      <c r="AH211" s="113" t="n"/>
      <c r="AI211" s="81" t="n"/>
      <c r="AJ211" s="81" t="n"/>
      <c r="AK211" s="113" t="n"/>
      <c r="AL211" s="81" t="n"/>
      <c r="AM211" s="81" t="n"/>
      <c r="AN211" s="81" t="n"/>
      <c r="AO211" s="113" t="n"/>
      <c r="AP211" s="113" t="n"/>
      <c r="AQ211" s="81" t="n"/>
      <c r="AR211" s="113" t="n"/>
      <c r="AS211" s="113" t="n"/>
      <c r="AT211" s="114" t="n"/>
      <c r="AU211" s="81" t="n"/>
      <c r="AV211" s="114" t="n"/>
      <c r="AW211" s="114" t="n"/>
      <c r="AX211" s="81" t="n"/>
      <c r="AY211" s="113" t="n"/>
      <c r="AZ211" s="115">
        <f>IF($B211="","",COUNTIF(References!$A$4:$A$503,$A211))</f>
        <v/>
      </c>
      <c r="BA211" s="115">
        <f>IF($B211="","",(LEN(A211)=0)+(LEN(B211)=0)+(LEN(D211)=0)+(LEN(G211)=0)+(LEN(H211)=0)+(LEN(I211)=0)+(LEN(J211)=0)+(LEN(L211)=0)+(LEN(M211)=0)+(LEN(O211)=0)+(LEN(R211)=0)+(LEN(X211)=0)+(LEN(AI211)=0)+(LEN(AJ211)=0)+(LEN(AQ211)=0)+(LEN(AR211)=0)+(LEN(AT211)=0)+(LEN(AU211)=0)+(LEN(AV211)=0)+(LEN(AX211)=0))</f>
        <v/>
      </c>
      <c r="BB211" s="115">
        <f>IF($B211="","",IF(AND(BA211=0,AZ211&gt;=1),"Complete","Incomplete"))</f>
        <v/>
      </c>
    </row>
    <row r="212" ht="15" customHeight="1" s="62">
      <c r="A212" s="81" t="n"/>
      <c r="B212" s="113" t="n"/>
      <c r="C212" s="81" t="n"/>
      <c r="D212" s="81" t="n"/>
      <c r="E212" s="81" t="n"/>
      <c r="F212" s="81" t="n"/>
      <c r="G212" s="81" t="n"/>
      <c r="H212" s="81" t="n"/>
      <c r="I212" s="81" t="n"/>
      <c r="J212" s="81" t="n"/>
      <c r="K212" s="81" t="n"/>
      <c r="L212" s="113" t="n"/>
      <c r="M212" s="81" t="n"/>
      <c r="N212" s="81" t="n"/>
      <c r="O212" s="81" t="n"/>
      <c r="P212" s="81" t="n"/>
      <c r="Q212" s="113" t="n"/>
      <c r="R212" s="113" t="n"/>
      <c r="S212" s="113" t="n"/>
      <c r="T212" s="81" t="n"/>
      <c r="U212" s="81" t="n"/>
      <c r="V212" s="113" t="n"/>
      <c r="W212" s="81" t="n"/>
      <c r="X212" s="81" t="n"/>
      <c r="Y212" s="81" t="n"/>
      <c r="Z212" s="81" t="n"/>
      <c r="AA212" s="81" t="n"/>
      <c r="AB212" s="81" t="n"/>
      <c r="AC212" s="81" t="n"/>
      <c r="AD212" s="81" t="n"/>
      <c r="AE212" s="81" t="n"/>
      <c r="AF212" s="81" t="n"/>
      <c r="AG212" s="81" t="n"/>
      <c r="AH212" s="113" t="n"/>
      <c r="AI212" s="81" t="n"/>
      <c r="AJ212" s="81" t="n"/>
      <c r="AK212" s="113" t="n"/>
      <c r="AL212" s="81" t="n"/>
      <c r="AM212" s="81" t="n"/>
      <c r="AN212" s="81" t="n"/>
      <c r="AO212" s="113" t="n"/>
      <c r="AP212" s="113" t="n"/>
      <c r="AQ212" s="81" t="n"/>
      <c r="AR212" s="113" t="n"/>
      <c r="AS212" s="113" t="n"/>
      <c r="AT212" s="114" t="n"/>
      <c r="AU212" s="81" t="n"/>
      <c r="AV212" s="114" t="n"/>
      <c r="AW212" s="114" t="n"/>
      <c r="AX212" s="81" t="n"/>
      <c r="AY212" s="113" t="n"/>
      <c r="AZ212" s="115">
        <f>IF($B212="","",COUNTIF(References!$A$4:$A$503,$A212))</f>
        <v/>
      </c>
      <c r="BA212" s="115">
        <f>IF($B212="","",(LEN(A212)=0)+(LEN(B212)=0)+(LEN(D212)=0)+(LEN(G212)=0)+(LEN(H212)=0)+(LEN(I212)=0)+(LEN(J212)=0)+(LEN(L212)=0)+(LEN(M212)=0)+(LEN(O212)=0)+(LEN(R212)=0)+(LEN(X212)=0)+(LEN(AI212)=0)+(LEN(AJ212)=0)+(LEN(AQ212)=0)+(LEN(AR212)=0)+(LEN(AT212)=0)+(LEN(AU212)=0)+(LEN(AV212)=0)+(LEN(AX212)=0))</f>
        <v/>
      </c>
      <c r="BB212" s="115">
        <f>IF($B212="","",IF(AND(BA212=0,AZ212&gt;=1),"Complete","Incomplete"))</f>
        <v/>
      </c>
    </row>
    <row r="213" ht="15" customHeight="1" s="62">
      <c r="A213" s="81" t="n"/>
      <c r="B213" s="113" t="n"/>
      <c r="C213" s="81" t="n"/>
      <c r="D213" s="81" t="n"/>
      <c r="E213" s="81" t="n"/>
      <c r="F213" s="81" t="n"/>
      <c r="G213" s="81" t="n"/>
      <c r="H213" s="81" t="n"/>
      <c r="I213" s="81" t="n"/>
      <c r="J213" s="81" t="n"/>
      <c r="K213" s="81" t="n"/>
      <c r="L213" s="113" t="n"/>
      <c r="M213" s="81" t="n"/>
      <c r="N213" s="81" t="n"/>
      <c r="O213" s="81" t="n"/>
      <c r="P213" s="81" t="n"/>
      <c r="Q213" s="113" t="n"/>
      <c r="R213" s="113" t="n"/>
      <c r="S213" s="113" t="n"/>
      <c r="T213" s="81" t="n"/>
      <c r="U213" s="81" t="n"/>
      <c r="V213" s="113" t="n"/>
      <c r="W213" s="81" t="n"/>
      <c r="X213" s="81" t="n"/>
      <c r="Y213" s="81" t="n"/>
      <c r="Z213" s="81" t="n"/>
      <c r="AA213" s="81" t="n"/>
      <c r="AB213" s="81" t="n"/>
      <c r="AC213" s="81" t="n"/>
      <c r="AD213" s="81" t="n"/>
      <c r="AE213" s="81" t="n"/>
      <c r="AF213" s="81" t="n"/>
      <c r="AG213" s="81" t="n"/>
      <c r="AH213" s="113" t="n"/>
      <c r="AI213" s="81" t="n"/>
      <c r="AJ213" s="81" t="n"/>
      <c r="AK213" s="113" t="n"/>
      <c r="AL213" s="81" t="n"/>
      <c r="AM213" s="81" t="n"/>
      <c r="AN213" s="81" t="n"/>
      <c r="AO213" s="113" t="n"/>
      <c r="AP213" s="113" t="n"/>
      <c r="AQ213" s="81" t="n"/>
      <c r="AR213" s="113" t="n"/>
      <c r="AS213" s="113" t="n"/>
      <c r="AT213" s="114" t="n"/>
      <c r="AU213" s="81" t="n"/>
      <c r="AV213" s="114" t="n"/>
      <c r="AW213" s="114" t="n"/>
      <c r="AX213" s="81" t="n"/>
      <c r="AY213" s="113" t="n"/>
      <c r="AZ213" s="115">
        <f>IF($B213="","",COUNTIF(References!$A$4:$A$503,$A213))</f>
        <v/>
      </c>
      <c r="BA213" s="115">
        <f>IF($B213="","",(LEN(A213)=0)+(LEN(B213)=0)+(LEN(D213)=0)+(LEN(G213)=0)+(LEN(H213)=0)+(LEN(I213)=0)+(LEN(J213)=0)+(LEN(L213)=0)+(LEN(M213)=0)+(LEN(O213)=0)+(LEN(R213)=0)+(LEN(X213)=0)+(LEN(AI213)=0)+(LEN(AJ213)=0)+(LEN(AQ213)=0)+(LEN(AR213)=0)+(LEN(AT213)=0)+(LEN(AU213)=0)+(LEN(AV213)=0)+(LEN(AX213)=0))</f>
        <v/>
      </c>
      <c r="BB213" s="115">
        <f>IF($B213="","",IF(AND(BA213=0,AZ213&gt;=1),"Complete","Incomplete"))</f>
        <v/>
      </c>
    </row>
    <row r="214" ht="15" customHeight="1" s="62">
      <c r="A214" s="81" t="n"/>
      <c r="B214" s="113" t="n"/>
      <c r="C214" s="81" t="n"/>
      <c r="D214" s="81" t="n"/>
      <c r="E214" s="81" t="n"/>
      <c r="F214" s="81" t="n"/>
      <c r="G214" s="81" t="n"/>
      <c r="H214" s="81" t="n"/>
      <c r="I214" s="81" t="n"/>
      <c r="J214" s="81" t="n"/>
      <c r="K214" s="81" t="n"/>
      <c r="L214" s="113" t="n"/>
      <c r="M214" s="81" t="n"/>
      <c r="N214" s="81" t="n"/>
      <c r="O214" s="81" t="n"/>
      <c r="P214" s="81" t="n"/>
      <c r="Q214" s="113" t="n"/>
      <c r="R214" s="113" t="n"/>
      <c r="S214" s="113" t="n"/>
      <c r="T214" s="81" t="n"/>
      <c r="U214" s="81" t="n"/>
      <c r="V214" s="113" t="n"/>
      <c r="W214" s="81" t="n"/>
      <c r="X214" s="81" t="n"/>
      <c r="Y214" s="81" t="n"/>
      <c r="Z214" s="81" t="n"/>
      <c r="AA214" s="81" t="n"/>
      <c r="AB214" s="81" t="n"/>
      <c r="AC214" s="81" t="n"/>
      <c r="AD214" s="81" t="n"/>
      <c r="AE214" s="81" t="n"/>
      <c r="AF214" s="81" t="n"/>
      <c r="AG214" s="81" t="n"/>
      <c r="AH214" s="113" t="n"/>
      <c r="AI214" s="81" t="n"/>
      <c r="AJ214" s="81" t="n"/>
      <c r="AK214" s="113" t="n"/>
      <c r="AL214" s="81" t="n"/>
      <c r="AM214" s="81" t="n"/>
      <c r="AN214" s="81" t="n"/>
      <c r="AO214" s="113" t="n"/>
      <c r="AP214" s="113" t="n"/>
      <c r="AQ214" s="81" t="n"/>
      <c r="AR214" s="113" t="n"/>
      <c r="AS214" s="113" t="n"/>
      <c r="AT214" s="114" t="n"/>
      <c r="AU214" s="81" t="n"/>
      <c r="AV214" s="114" t="n"/>
      <c r="AW214" s="114" t="n"/>
      <c r="AX214" s="81" t="n"/>
      <c r="AY214" s="113" t="n"/>
      <c r="AZ214" s="115">
        <f>IF($B214="","",COUNTIF(References!$A$4:$A$503,$A214))</f>
        <v/>
      </c>
      <c r="BA214" s="115">
        <f>IF($B214="","",(LEN(A214)=0)+(LEN(B214)=0)+(LEN(D214)=0)+(LEN(G214)=0)+(LEN(H214)=0)+(LEN(I214)=0)+(LEN(J214)=0)+(LEN(L214)=0)+(LEN(M214)=0)+(LEN(O214)=0)+(LEN(R214)=0)+(LEN(X214)=0)+(LEN(AI214)=0)+(LEN(AJ214)=0)+(LEN(AQ214)=0)+(LEN(AR214)=0)+(LEN(AT214)=0)+(LEN(AU214)=0)+(LEN(AV214)=0)+(LEN(AX214)=0))</f>
        <v/>
      </c>
      <c r="BB214" s="115">
        <f>IF($B214="","",IF(AND(BA214=0,AZ214&gt;=1),"Complete","Incomplete"))</f>
        <v/>
      </c>
    </row>
    <row r="215" ht="15" customHeight="1" s="62">
      <c r="A215" s="81" t="n"/>
      <c r="B215" s="113" t="n"/>
      <c r="C215" s="81" t="n"/>
      <c r="D215" s="81" t="n"/>
      <c r="E215" s="81" t="n"/>
      <c r="F215" s="81" t="n"/>
      <c r="G215" s="81" t="n"/>
      <c r="H215" s="81" t="n"/>
      <c r="I215" s="81" t="n"/>
      <c r="J215" s="81" t="n"/>
      <c r="K215" s="81" t="n"/>
      <c r="L215" s="113" t="n"/>
      <c r="M215" s="81" t="n"/>
      <c r="N215" s="81" t="n"/>
      <c r="O215" s="81" t="n"/>
      <c r="P215" s="81" t="n"/>
      <c r="Q215" s="113" t="n"/>
      <c r="R215" s="113" t="n"/>
      <c r="S215" s="113" t="n"/>
      <c r="T215" s="81" t="n"/>
      <c r="U215" s="81" t="n"/>
      <c r="V215" s="113" t="n"/>
      <c r="W215" s="81" t="n"/>
      <c r="X215" s="81" t="n"/>
      <c r="Y215" s="81" t="n"/>
      <c r="Z215" s="81" t="n"/>
      <c r="AA215" s="81" t="n"/>
      <c r="AB215" s="81" t="n"/>
      <c r="AC215" s="81" t="n"/>
      <c r="AD215" s="81" t="n"/>
      <c r="AE215" s="81" t="n"/>
      <c r="AF215" s="81" t="n"/>
      <c r="AG215" s="81" t="n"/>
      <c r="AH215" s="113" t="n"/>
      <c r="AI215" s="81" t="n"/>
      <c r="AJ215" s="81" t="n"/>
      <c r="AK215" s="113" t="n"/>
      <c r="AL215" s="81" t="n"/>
      <c r="AM215" s="81" t="n"/>
      <c r="AN215" s="81" t="n"/>
      <c r="AO215" s="113" t="n"/>
      <c r="AP215" s="113" t="n"/>
      <c r="AQ215" s="81" t="n"/>
      <c r="AR215" s="113" t="n"/>
      <c r="AS215" s="113" t="n"/>
      <c r="AT215" s="114" t="n"/>
      <c r="AU215" s="81" t="n"/>
      <c r="AV215" s="114" t="n"/>
      <c r="AW215" s="114" t="n"/>
      <c r="AX215" s="81" t="n"/>
      <c r="AY215" s="113" t="n"/>
      <c r="AZ215" s="115">
        <f>IF($B215="","",COUNTIF(References!$A$4:$A$503,$A215))</f>
        <v/>
      </c>
      <c r="BA215" s="115">
        <f>IF($B215="","",(LEN(A215)=0)+(LEN(B215)=0)+(LEN(D215)=0)+(LEN(G215)=0)+(LEN(H215)=0)+(LEN(I215)=0)+(LEN(J215)=0)+(LEN(L215)=0)+(LEN(M215)=0)+(LEN(O215)=0)+(LEN(R215)=0)+(LEN(X215)=0)+(LEN(AI215)=0)+(LEN(AJ215)=0)+(LEN(AQ215)=0)+(LEN(AR215)=0)+(LEN(AT215)=0)+(LEN(AU215)=0)+(LEN(AV215)=0)+(LEN(AX215)=0))</f>
        <v/>
      </c>
      <c r="BB215" s="115">
        <f>IF($B215="","",IF(AND(BA215=0,AZ215&gt;=1),"Complete","Incomplete"))</f>
        <v/>
      </c>
    </row>
    <row r="216" ht="15" customHeight="1" s="62">
      <c r="A216" s="81" t="n"/>
      <c r="B216" s="113" t="n"/>
      <c r="C216" s="81" t="n"/>
      <c r="D216" s="81" t="n"/>
      <c r="E216" s="81" t="n"/>
      <c r="F216" s="81" t="n"/>
      <c r="G216" s="81" t="n"/>
      <c r="H216" s="81" t="n"/>
      <c r="I216" s="81" t="n"/>
      <c r="J216" s="81" t="n"/>
      <c r="K216" s="81" t="n"/>
      <c r="L216" s="113" t="n"/>
      <c r="M216" s="81" t="n"/>
      <c r="N216" s="81" t="n"/>
      <c r="O216" s="81" t="n"/>
      <c r="P216" s="81" t="n"/>
      <c r="Q216" s="113" t="n"/>
      <c r="R216" s="113" t="n"/>
      <c r="S216" s="113" t="n"/>
      <c r="T216" s="81" t="n"/>
      <c r="U216" s="81" t="n"/>
      <c r="V216" s="113" t="n"/>
      <c r="W216" s="81" t="n"/>
      <c r="X216" s="81" t="n"/>
      <c r="Y216" s="81" t="n"/>
      <c r="Z216" s="81" t="n"/>
      <c r="AA216" s="81" t="n"/>
      <c r="AB216" s="81" t="n"/>
      <c r="AC216" s="81" t="n"/>
      <c r="AD216" s="81" t="n"/>
      <c r="AE216" s="81" t="n"/>
      <c r="AF216" s="81" t="n"/>
      <c r="AG216" s="81" t="n"/>
      <c r="AH216" s="113" t="n"/>
      <c r="AI216" s="81" t="n"/>
      <c r="AJ216" s="81" t="n"/>
      <c r="AK216" s="113" t="n"/>
      <c r="AL216" s="81" t="n"/>
      <c r="AM216" s="81" t="n"/>
      <c r="AN216" s="81" t="n"/>
      <c r="AO216" s="113" t="n"/>
      <c r="AP216" s="113" t="n"/>
      <c r="AQ216" s="81" t="n"/>
      <c r="AR216" s="113" t="n"/>
      <c r="AS216" s="113" t="n"/>
      <c r="AT216" s="114" t="n"/>
      <c r="AU216" s="81" t="n"/>
      <c r="AV216" s="114" t="n"/>
      <c r="AW216" s="114" t="n"/>
      <c r="AX216" s="81" t="n"/>
      <c r="AY216" s="113" t="n"/>
      <c r="AZ216" s="115">
        <f>IF($B216="","",COUNTIF(References!$A$4:$A$503,$A216))</f>
        <v/>
      </c>
      <c r="BA216" s="115">
        <f>IF($B216="","",(LEN(A216)=0)+(LEN(B216)=0)+(LEN(D216)=0)+(LEN(G216)=0)+(LEN(H216)=0)+(LEN(I216)=0)+(LEN(J216)=0)+(LEN(L216)=0)+(LEN(M216)=0)+(LEN(O216)=0)+(LEN(R216)=0)+(LEN(X216)=0)+(LEN(AI216)=0)+(LEN(AJ216)=0)+(LEN(AQ216)=0)+(LEN(AR216)=0)+(LEN(AT216)=0)+(LEN(AU216)=0)+(LEN(AV216)=0)+(LEN(AX216)=0))</f>
        <v/>
      </c>
      <c r="BB216" s="115">
        <f>IF($B216="","",IF(AND(BA216=0,AZ216&gt;=1),"Complete","Incomplete"))</f>
        <v/>
      </c>
    </row>
    <row r="217" ht="15" customHeight="1" s="62">
      <c r="A217" s="81" t="n"/>
      <c r="B217" s="113" t="n"/>
      <c r="C217" s="81" t="n"/>
      <c r="D217" s="81" t="n"/>
      <c r="E217" s="81" t="n"/>
      <c r="F217" s="81" t="n"/>
      <c r="G217" s="81" t="n"/>
      <c r="H217" s="81" t="n"/>
      <c r="I217" s="81" t="n"/>
      <c r="J217" s="81" t="n"/>
      <c r="K217" s="81" t="n"/>
      <c r="L217" s="113" t="n"/>
      <c r="M217" s="81" t="n"/>
      <c r="N217" s="81" t="n"/>
      <c r="O217" s="81" t="n"/>
      <c r="P217" s="81" t="n"/>
      <c r="Q217" s="113" t="n"/>
      <c r="R217" s="113" t="n"/>
      <c r="S217" s="113" t="n"/>
      <c r="T217" s="81" t="n"/>
      <c r="U217" s="81" t="n"/>
      <c r="V217" s="113" t="n"/>
      <c r="W217" s="81" t="n"/>
      <c r="X217" s="81" t="n"/>
      <c r="Y217" s="81" t="n"/>
      <c r="Z217" s="81" t="n"/>
      <c r="AA217" s="81" t="n"/>
      <c r="AB217" s="81" t="n"/>
      <c r="AC217" s="81" t="n"/>
      <c r="AD217" s="81" t="n"/>
      <c r="AE217" s="81" t="n"/>
      <c r="AF217" s="81" t="n"/>
      <c r="AG217" s="81" t="n"/>
      <c r="AH217" s="113" t="n"/>
      <c r="AI217" s="81" t="n"/>
      <c r="AJ217" s="81" t="n"/>
      <c r="AK217" s="113" t="n"/>
      <c r="AL217" s="81" t="n"/>
      <c r="AM217" s="81" t="n"/>
      <c r="AN217" s="81" t="n"/>
      <c r="AO217" s="113" t="n"/>
      <c r="AP217" s="113" t="n"/>
      <c r="AQ217" s="81" t="n"/>
      <c r="AR217" s="113" t="n"/>
      <c r="AS217" s="113" t="n"/>
      <c r="AT217" s="114" t="n"/>
      <c r="AU217" s="81" t="n"/>
      <c r="AV217" s="114" t="n"/>
      <c r="AW217" s="114" t="n"/>
      <c r="AX217" s="81" t="n"/>
      <c r="AY217" s="113" t="n"/>
      <c r="AZ217" s="115">
        <f>IF($B217="","",COUNTIF(References!$A$4:$A$503,$A217))</f>
        <v/>
      </c>
      <c r="BA217" s="115">
        <f>IF($B217="","",(LEN(A217)=0)+(LEN(B217)=0)+(LEN(D217)=0)+(LEN(G217)=0)+(LEN(H217)=0)+(LEN(I217)=0)+(LEN(J217)=0)+(LEN(L217)=0)+(LEN(M217)=0)+(LEN(O217)=0)+(LEN(R217)=0)+(LEN(X217)=0)+(LEN(AI217)=0)+(LEN(AJ217)=0)+(LEN(AQ217)=0)+(LEN(AR217)=0)+(LEN(AT217)=0)+(LEN(AU217)=0)+(LEN(AV217)=0)+(LEN(AX217)=0))</f>
        <v/>
      </c>
      <c r="BB217" s="115">
        <f>IF($B217="","",IF(AND(BA217=0,AZ217&gt;=1),"Complete","Incomplete"))</f>
        <v/>
      </c>
    </row>
    <row r="218" ht="15" customHeight="1" s="62">
      <c r="A218" s="81" t="n"/>
      <c r="B218" s="113" t="n"/>
      <c r="C218" s="81" t="n"/>
      <c r="D218" s="81" t="n"/>
      <c r="E218" s="81" t="n"/>
      <c r="F218" s="81" t="n"/>
      <c r="G218" s="81" t="n"/>
      <c r="H218" s="81" t="n"/>
      <c r="I218" s="81" t="n"/>
      <c r="J218" s="81" t="n"/>
      <c r="K218" s="81" t="n"/>
      <c r="L218" s="113" t="n"/>
      <c r="M218" s="81" t="n"/>
      <c r="N218" s="81" t="n"/>
      <c r="O218" s="81" t="n"/>
      <c r="P218" s="81" t="n"/>
      <c r="Q218" s="113" t="n"/>
      <c r="R218" s="113" t="n"/>
      <c r="S218" s="113" t="n"/>
      <c r="T218" s="81" t="n"/>
      <c r="U218" s="81" t="n"/>
      <c r="V218" s="113" t="n"/>
      <c r="W218" s="81" t="n"/>
      <c r="X218" s="81" t="n"/>
      <c r="Y218" s="81" t="n"/>
      <c r="Z218" s="81" t="n"/>
      <c r="AA218" s="81" t="n"/>
      <c r="AB218" s="81" t="n"/>
      <c r="AC218" s="81" t="n"/>
      <c r="AD218" s="81" t="n"/>
      <c r="AE218" s="81" t="n"/>
      <c r="AF218" s="81" t="n"/>
      <c r="AG218" s="81" t="n"/>
      <c r="AH218" s="113" t="n"/>
      <c r="AI218" s="81" t="n"/>
      <c r="AJ218" s="81" t="n"/>
      <c r="AK218" s="113" t="n"/>
      <c r="AL218" s="81" t="n"/>
      <c r="AM218" s="81" t="n"/>
      <c r="AN218" s="81" t="n"/>
      <c r="AO218" s="113" t="n"/>
      <c r="AP218" s="113" t="n"/>
      <c r="AQ218" s="81" t="n"/>
      <c r="AR218" s="113" t="n"/>
      <c r="AS218" s="113" t="n"/>
      <c r="AT218" s="114" t="n"/>
      <c r="AU218" s="81" t="n"/>
      <c r="AV218" s="114" t="n"/>
      <c r="AW218" s="114" t="n"/>
      <c r="AX218" s="81" t="n"/>
      <c r="AY218" s="113" t="n"/>
      <c r="AZ218" s="115">
        <f>IF($B218="","",COUNTIF(References!$A$4:$A$503,$A218))</f>
        <v/>
      </c>
      <c r="BA218" s="115">
        <f>IF($B218="","",(LEN(A218)=0)+(LEN(B218)=0)+(LEN(D218)=0)+(LEN(G218)=0)+(LEN(H218)=0)+(LEN(I218)=0)+(LEN(J218)=0)+(LEN(L218)=0)+(LEN(M218)=0)+(LEN(O218)=0)+(LEN(R218)=0)+(LEN(X218)=0)+(LEN(AI218)=0)+(LEN(AJ218)=0)+(LEN(AQ218)=0)+(LEN(AR218)=0)+(LEN(AT218)=0)+(LEN(AU218)=0)+(LEN(AV218)=0)+(LEN(AX218)=0))</f>
        <v/>
      </c>
      <c r="BB218" s="115">
        <f>IF($B218="","",IF(AND(BA218=0,AZ218&gt;=1),"Complete","Incomplete"))</f>
        <v/>
      </c>
    </row>
    <row r="219" ht="15" customHeight="1" s="62">
      <c r="A219" s="81" t="n"/>
      <c r="B219" s="113" t="n"/>
      <c r="C219" s="81" t="n"/>
      <c r="D219" s="81" t="n"/>
      <c r="E219" s="81" t="n"/>
      <c r="F219" s="81" t="n"/>
      <c r="G219" s="81" t="n"/>
      <c r="H219" s="81" t="n"/>
      <c r="I219" s="81" t="n"/>
      <c r="J219" s="81" t="n"/>
      <c r="K219" s="81" t="n"/>
      <c r="L219" s="113" t="n"/>
      <c r="M219" s="81" t="n"/>
      <c r="N219" s="81" t="n"/>
      <c r="O219" s="81" t="n"/>
      <c r="P219" s="81" t="n"/>
      <c r="Q219" s="113" t="n"/>
      <c r="R219" s="113" t="n"/>
      <c r="S219" s="113" t="n"/>
      <c r="T219" s="81" t="n"/>
      <c r="U219" s="81" t="n"/>
      <c r="V219" s="113" t="n"/>
      <c r="W219" s="81" t="n"/>
      <c r="X219" s="81" t="n"/>
      <c r="Y219" s="81" t="n"/>
      <c r="Z219" s="81" t="n"/>
      <c r="AA219" s="81" t="n"/>
      <c r="AB219" s="81" t="n"/>
      <c r="AC219" s="81" t="n"/>
      <c r="AD219" s="81" t="n"/>
      <c r="AE219" s="81" t="n"/>
      <c r="AF219" s="81" t="n"/>
      <c r="AG219" s="81" t="n"/>
      <c r="AH219" s="113" t="n"/>
      <c r="AI219" s="81" t="n"/>
      <c r="AJ219" s="81" t="n"/>
      <c r="AK219" s="113" t="n"/>
      <c r="AL219" s="81" t="n"/>
      <c r="AM219" s="81" t="n"/>
      <c r="AN219" s="81" t="n"/>
      <c r="AO219" s="113" t="n"/>
      <c r="AP219" s="113" t="n"/>
      <c r="AQ219" s="81" t="n"/>
      <c r="AR219" s="113" t="n"/>
      <c r="AS219" s="113" t="n"/>
      <c r="AT219" s="114" t="n"/>
      <c r="AU219" s="81" t="n"/>
      <c r="AV219" s="114" t="n"/>
      <c r="AW219" s="114" t="n"/>
      <c r="AX219" s="81" t="n"/>
      <c r="AY219" s="113" t="n"/>
      <c r="AZ219" s="115">
        <f>IF($B219="","",COUNTIF(References!$A$4:$A$503,$A219))</f>
        <v/>
      </c>
      <c r="BA219" s="115">
        <f>IF($B219="","",(LEN(A219)=0)+(LEN(B219)=0)+(LEN(D219)=0)+(LEN(G219)=0)+(LEN(H219)=0)+(LEN(I219)=0)+(LEN(J219)=0)+(LEN(L219)=0)+(LEN(M219)=0)+(LEN(O219)=0)+(LEN(R219)=0)+(LEN(X219)=0)+(LEN(AI219)=0)+(LEN(AJ219)=0)+(LEN(AQ219)=0)+(LEN(AR219)=0)+(LEN(AT219)=0)+(LEN(AU219)=0)+(LEN(AV219)=0)+(LEN(AX219)=0))</f>
        <v/>
      </c>
      <c r="BB219" s="115">
        <f>IF($B219="","",IF(AND(BA219=0,AZ219&gt;=1),"Complete","Incomplete"))</f>
        <v/>
      </c>
    </row>
    <row r="220" ht="15" customHeight="1" s="62">
      <c r="A220" s="81" t="n"/>
      <c r="B220" s="113" t="n"/>
      <c r="C220" s="81" t="n"/>
      <c r="D220" s="81" t="n"/>
      <c r="E220" s="81" t="n"/>
      <c r="F220" s="81" t="n"/>
      <c r="G220" s="81" t="n"/>
      <c r="H220" s="81" t="n"/>
      <c r="I220" s="81" t="n"/>
      <c r="J220" s="81" t="n"/>
      <c r="K220" s="81" t="n"/>
      <c r="L220" s="113" t="n"/>
      <c r="M220" s="81" t="n"/>
      <c r="N220" s="81" t="n"/>
      <c r="O220" s="81" t="n"/>
      <c r="P220" s="81" t="n"/>
      <c r="Q220" s="113" t="n"/>
      <c r="R220" s="113" t="n"/>
      <c r="S220" s="113" t="n"/>
      <c r="T220" s="81" t="n"/>
      <c r="U220" s="81" t="n"/>
      <c r="V220" s="113" t="n"/>
      <c r="W220" s="81" t="n"/>
      <c r="X220" s="81" t="n"/>
      <c r="Y220" s="81" t="n"/>
      <c r="Z220" s="81" t="n"/>
      <c r="AA220" s="81" t="n"/>
      <c r="AB220" s="81" t="n"/>
      <c r="AC220" s="81" t="n"/>
      <c r="AD220" s="81" t="n"/>
      <c r="AE220" s="81" t="n"/>
      <c r="AF220" s="81" t="n"/>
      <c r="AG220" s="81" t="n"/>
      <c r="AH220" s="113" t="n"/>
      <c r="AI220" s="81" t="n"/>
      <c r="AJ220" s="81" t="n"/>
      <c r="AK220" s="113" t="n"/>
      <c r="AL220" s="81" t="n"/>
      <c r="AM220" s="81" t="n"/>
      <c r="AN220" s="81" t="n"/>
      <c r="AO220" s="113" t="n"/>
      <c r="AP220" s="113" t="n"/>
      <c r="AQ220" s="81" t="n"/>
      <c r="AR220" s="113" t="n"/>
      <c r="AS220" s="113" t="n"/>
      <c r="AT220" s="114" t="n"/>
      <c r="AU220" s="81" t="n"/>
      <c r="AV220" s="114" t="n"/>
      <c r="AW220" s="114" t="n"/>
      <c r="AX220" s="81" t="n"/>
      <c r="AY220" s="113" t="n"/>
      <c r="AZ220" s="115">
        <f>IF($B220="","",COUNTIF(References!$A$4:$A$503,$A220))</f>
        <v/>
      </c>
      <c r="BA220" s="115">
        <f>IF($B220="","",(LEN(A220)=0)+(LEN(B220)=0)+(LEN(D220)=0)+(LEN(G220)=0)+(LEN(H220)=0)+(LEN(I220)=0)+(LEN(J220)=0)+(LEN(L220)=0)+(LEN(M220)=0)+(LEN(O220)=0)+(LEN(R220)=0)+(LEN(X220)=0)+(LEN(AI220)=0)+(LEN(AJ220)=0)+(LEN(AQ220)=0)+(LEN(AR220)=0)+(LEN(AT220)=0)+(LEN(AU220)=0)+(LEN(AV220)=0)+(LEN(AX220)=0))</f>
        <v/>
      </c>
      <c r="BB220" s="115">
        <f>IF($B220="","",IF(AND(BA220=0,AZ220&gt;=1),"Complete","Incomplete"))</f>
        <v/>
      </c>
    </row>
    <row r="221" ht="15" customHeight="1" s="62">
      <c r="A221" s="81" t="n"/>
      <c r="B221" s="113" t="n"/>
      <c r="C221" s="81" t="n"/>
      <c r="D221" s="81" t="n"/>
      <c r="E221" s="81" t="n"/>
      <c r="F221" s="81" t="n"/>
      <c r="G221" s="81" t="n"/>
      <c r="H221" s="81" t="n"/>
      <c r="I221" s="81" t="n"/>
      <c r="J221" s="81" t="n"/>
      <c r="K221" s="81" t="n"/>
      <c r="L221" s="113" t="n"/>
      <c r="M221" s="81" t="n"/>
      <c r="N221" s="81" t="n"/>
      <c r="O221" s="81" t="n"/>
      <c r="P221" s="81" t="n"/>
      <c r="Q221" s="113" t="n"/>
      <c r="R221" s="113" t="n"/>
      <c r="S221" s="113" t="n"/>
      <c r="T221" s="81" t="n"/>
      <c r="U221" s="81" t="n"/>
      <c r="V221" s="113" t="n"/>
      <c r="W221" s="81" t="n"/>
      <c r="X221" s="81" t="n"/>
      <c r="Y221" s="81" t="n"/>
      <c r="Z221" s="81" t="n"/>
      <c r="AA221" s="81" t="n"/>
      <c r="AB221" s="81" t="n"/>
      <c r="AC221" s="81" t="n"/>
      <c r="AD221" s="81" t="n"/>
      <c r="AE221" s="81" t="n"/>
      <c r="AF221" s="81" t="n"/>
      <c r="AG221" s="81" t="n"/>
      <c r="AH221" s="113" t="n"/>
      <c r="AI221" s="81" t="n"/>
      <c r="AJ221" s="81" t="n"/>
      <c r="AK221" s="113" t="n"/>
      <c r="AL221" s="81" t="n"/>
      <c r="AM221" s="81" t="n"/>
      <c r="AN221" s="81" t="n"/>
      <c r="AO221" s="113" t="n"/>
      <c r="AP221" s="113" t="n"/>
      <c r="AQ221" s="81" t="n"/>
      <c r="AR221" s="113" t="n"/>
      <c r="AS221" s="113" t="n"/>
      <c r="AT221" s="114" t="n"/>
      <c r="AU221" s="81" t="n"/>
      <c r="AV221" s="114" t="n"/>
      <c r="AW221" s="114" t="n"/>
      <c r="AX221" s="81" t="n"/>
      <c r="AY221" s="113" t="n"/>
      <c r="AZ221" s="115">
        <f>IF($B221="","",COUNTIF(References!$A$4:$A$503,$A221))</f>
        <v/>
      </c>
      <c r="BA221" s="115">
        <f>IF($B221="","",(LEN(A221)=0)+(LEN(B221)=0)+(LEN(D221)=0)+(LEN(G221)=0)+(LEN(H221)=0)+(LEN(I221)=0)+(LEN(J221)=0)+(LEN(L221)=0)+(LEN(M221)=0)+(LEN(O221)=0)+(LEN(R221)=0)+(LEN(X221)=0)+(LEN(AI221)=0)+(LEN(AJ221)=0)+(LEN(AQ221)=0)+(LEN(AR221)=0)+(LEN(AT221)=0)+(LEN(AU221)=0)+(LEN(AV221)=0)+(LEN(AX221)=0))</f>
        <v/>
      </c>
      <c r="BB221" s="115">
        <f>IF($B221="","",IF(AND(BA221=0,AZ221&gt;=1),"Complete","Incomplete"))</f>
        <v/>
      </c>
    </row>
    <row r="222" ht="15" customHeight="1" s="62">
      <c r="A222" s="81" t="n"/>
      <c r="B222" s="113" t="n"/>
      <c r="C222" s="81" t="n"/>
      <c r="D222" s="81" t="n"/>
      <c r="E222" s="81" t="n"/>
      <c r="F222" s="81" t="n"/>
      <c r="G222" s="81" t="n"/>
      <c r="H222" s="81" t="n"/>
      <c r="I222" s="81" t="n"/>
      <c r="J222" s="81" t="n"/>
      <c r="K222" s="81" t="n"/>
      <c r="L222" s="113" t="n"/>
      <c r="M222" s="81" t="n"/>
      <c r="N222" s="81" t="n"/>
      <c r="O222" s="81" t="n"/>
      <c r="P222" s="81" t="n"/>
      <c r="Q222" s="113" t="n"/>
      <c r="R222" s="113" t="n"/>
      <c r="S222" s="113" t="n"/>
      <c r="T222" s="81" t="n"/>
      <c r="U222" s="81" t="n"/>
      <c r="V222" s="113" t="n"/>
      <c r="W222" s="81" t="n"/>
      <c r="X222" s="81" t="n"/>
      <c r="Y222" s="81" t="n"/>
      <c r="Z222" s="81" t="n"/>
      <c r="AA222" s="81" t="n"/>
      <c r="AB222" s="81" t="n"/>
      <c r="AC222" s="81" t="n"/>
      <c r="AD222" s="81" t="n"/>
      <c r="AE222" s="81" t="n"/>
      <c r="AF222" s="81" t="n"/>
      <c r="AG222" s="81" t="n"/>
      <c r="AH222" s="113" t="n"/>
      <c r="AI222" s="81" t="n"/>
      <c r="AJ222" s="81" t="n"/>
      <c r="AK222" s="113" t="n"/>
      <c r="AL222" s="81" t="n"/>
      <c r="AM222" s="81" t="n"/>
      <c r="AN222" s="81" t="n"/>
      <c r="AO222" s="113" t="n"/>
      <c r="AP222" s="113" t="n"/>
      <c r="AQ222" s="81" t="n"/>
      <c r="AR222" s="113" t="n"/>
      <c r="AS222" s="113" t="n"/>
      <c r="AT222" s="114" t="n"/>
      <c r="AU222" s="81" t="n"/>
      <c r="AV222" s="114" t="n"/>
      <c r="AW222" s="114" t="n"/>
      <c r="AX222" s="81" t="n"/>
      <c r="AY222" s="113" t="n"/>
      <c r="AZ222" s="115">
        <f>IF($B222="","",COUNTIF(References!$A$4:$A$503,$A222))</f>
        <v/>
      </c>
      <c r="BA222" s="115">
        <f>IF($B222="","",(LEN(A222)=0)+(LEN(B222)=0)+(LEN(D222)=0)+(LEN(G222)=0)+(LEN(H222)=0)+(LEN(I222)=0)+(LEN(J222)=0)+(LEN(L222)=0)+(LEN(M222)=0)+(LEN(O222)=0)+(LEN(R222)=0)+(LEN(X222)=0)+(LEN(AI222)=0)+(LEN(AJ222)=0)+(LEN(AQ222)=0)+(LEN(AR222)=0)+(LEN(AT222)=0)+(LEN(AU222)=0)+(LEN(AV222)=0)+(LEN(AX222)=0))</f>
        <v/>
      </c>
      <c r="BB222" s="115">
        <f>IF($B222="","",IF(AND(BA222=0,AZ222&gt;=1),"Complete","Incomplete"))</f>
        <v/>
      </c>
    </row>
    <row r="223" ht="15" customHeight="1" s="62">
      <c r="A223" s="81" t="n"/>
      <c r="B223" s="113" t="n"/>
      <c r="C223" s="81" t="n"/>
      <c r="D223" s="81" t="n"/>
      <c r="E223" s="81" t="n"/>
      <c r="F223" s="81" t="n"/>
      <c r="G223" s="81" t="n"/>
      <c r="H223" s="81" t="n"/>
      <c r="I223" s="81" t="n"/>
      <c r="J223" s="81" t="n"/>
      <c r="K223" s="81" t="n"/>
      <c r="L223" s="113" t="n"/>
      <c r="M223" s="81" t="n"/>
      <c r="N223" s="81" t="n"/>
      <c r="O223" s="81" t="n"/>
      <c r="P223" s="81" t="n"/>
      <c r="Q223" s="113" t="n"/>
      <c r="R223" s="113" t="n"/>
      <c r="S223" s="113" t="n"/>
      <c r="T223" s="81" t="n"/>
      <c r="U223" s="81" t="n"/>
      <c r="V223" s="113" t="n"/>
      <c r="W223" s="81" t="n"/>
      <c r="X223" s="81" t="n"/>
      <c r="Y223" s="81" t="n"/>
      <c r="Z223" s="81" t="n"/>
      <c r="AA223" s="81" t="n"/>
      <c r="AB223" s="81" t="n"/>
      <c r="AC223" s="81" t="n"/>
      <c r="AD223" s="81" t="n"/>
      <c r="AE223" s="81" t="n"/>
      <c r="AF223" s="81" t="n"/>
      <c r="AG223" s="81" t="n"/>
      <c r="AH223" s="113" t="n"/>
      <c r="AI223" s="81" t="n"/>
      <c r="AJ223" s="81" t="n"/>
      <c r="AK223" s="113" t="n"/>
      <c r="AL223" s="81" t="n"/>
      <c r="AM223" s="81" t="n"/>
      <c r="AN223" s="81" t="n"/>
      <c r="AO223" s="113" t="n"/>
      <c r="AP223" s="113" t="n"/>
      <c r="AQ223" s="81" t="n"/>
      <c r="AR223" s="113" t="n"/>
      <c r="AS223" s="113" t="n"/>
      <c r="AT223" s="114" t="n"/>
      <c r="AU223" s="81" t="n"/>
      <c r="AV223" s="114" t="n"/>
      <c r="AW223" s="114" t="n"/>
      <c r="AX223" s="81" t="n"/>
      <c r="AY223" s="113" t="n"/>
      <c r="AZ223" s="115">
        <f>IF($B223="","",COUNTIF(References!$A$4:$A$503,$A223))</f>
        <v/>
      </c>
      <c r="BA223" s="115">
        <f>IF($B223="","",(LEN(A223)=0)+(LEN(B223)=0)+(LEN(D223)=0)+(LEN(G223)=0)+(LEN(H223)=0)+(LEN(I223)=0)+(LEN(J223)=0)+(LEN(L223)=0)+(LEN(M223)=0)+(LEN(O223)=0)+(LEN(R223)=0)+(LEN(X223)=0)+(LEN(AI223)=0)+(LEN(AJ223)=0)+(LEN(AQ223)=0)+(LEN(AR223)=0)+(LEN(AT223)=0)+(LEN(AU223)=0)+(LEN(AV223)=0)+(LEN(AX223)=0))</f>
        <v/>
      </c>
      <c r="BB223" s="115">
        <f>IF($B223="","",IF(AND(BA223=0,AZ223&gt;=1),"Complete","Incomplete"))</f>
        <v/>
      </c>
    </row>
    <row r="224" ht="15" customHeight="1" s="62">
      <c r="A224" s="81" t="n"/>
      <c r="B224" s="113" t="n"/>
      <c r="C224" s="81" t="n"/>
      <c r="D224" s="81" t="n"/>
      <c r="E224" s="81" t="n"/>
      <c r="F224" s="81" t="n"/>
      <c r="G224" s="81" t="n"/>
      <c r="H224" s="81" t="n"/>
      <c r="I224" s="81" t="n"/>
      <c r="J224" s="81" t="n"/>
      <c r="K224" s="81" t="n"/>
      <c r="L224" s="113" t="n"/>
      <c r="M224" s="81" t="n"/>
      <c r="N224" s="81" t="n"/>
      <c r="O224" s="81" t="n"/>
      <c r="P224" s="81" t="n"/>
      <c r="Q224" s="113" t="n"/>
      <c r="R224" s="113" t="n"/>
      <c r="S224" s="113" t="n"/>
      <c r="T224" s="81" t="n"/>
      <c r="U224" s="81" t="n"/>
      <c r="V224" s="113" t="n"/>
      <c r="W224" s="81" t="n"/>
      <c r="X224" s="81" t="n"/>
      <c r="Y224" s="81" t="n"/>
      <c r="Z224" s="81" t="n"/>
      <c r="AA224" s="81" t="n"/>
      <c r="AB224" s="81" t="n"/>
      <c r="AC224" s="81" t="n"/>
      <c r="AD224" s="81" t="n"/>
      <c r="AE224" s="81" t="n"/>
      <c r="AF224" s="81" t="n"/>
      <c r="AG224" s="81" t="n"/>
      <c r="AH224" s="113" t="n"/>
      <c r="AI224" s="81" t="n"/>
      <c r="AJ224" s="81" t="n"/>
      <c r="AK224" s="113" t="n"/>
      <c r="AL224" s="81" t="n"/>
      <c r="AM224" s="81" t="n"/>
      <c r="AN224" s="81" t="n"/>
      <c r="AO224" s="113" t="n"/>
      <c r="AP224" s="113" t="n"/>
      <c r="AQ224" s="81" t="n"/>
      <c r="AR224" s="113" t="n"/>
      <c r="AS224" s="113" t="n"/>
      <c r="AT224" s="114" t="n"/>
      <c r="AU224" s="81" t="n"/>
      <c r="AV224" s="114" t="n"/>
      <c r="AW224" s="114" t="n"/>
      <c r="AX224" s="81" t="n"/>
      <c r="AY224" s="113" t="n"/>
      <c r="AZ224" s="115">
        <f>IF($B224="","",COUNTIF(References!$A$4:$A$503,$A224))</f>
        <v/>
      </c>
      <c r="BA224" s="115">
        <f>IF($B224="","",(LEN(A224)=0)+(LEN(B224)=0)+(LEN(D224)=0)+(LEN(G224)=0)+(LEN(H224)=0)+(LEN(I224)=0)+(LEN(J224)=0)+(LEN(L224)=0)+(LEN(M224)=0)+(LEN(O224)=0)+(LEN(R224)=0)+(LEN(X224)=0)+(LEN(AI224)=0)+(LEN(AJ224)=0)+(LEN(AQ224)=0)+(LEN(AR224)=0)+(LEN(AT224)=0)+(LEN(AU224)=0)+(LEN(AV224)=0)+(LEN(AX224)=0))</f>
        <v/>
      </c>
      <c r="BB224" s="115">
        <f>IF($B224="","",IF(AND(BA224=0,AZ224&gt;=1),"Complete","Incomplete"))</f>
        <v/>
      </c>
    </row>
    <row r="225" ht="15" customHeight="1" s="62">
      <c r="A225" s="81" t="n"/>
      <c r="B225" s="113" t="n"/>
      <c r="C225" s="81" t="n"/>
      <c r="D225" s="81" t="n"/>
      <c r="E225" s="81" t="n"/>
      <c r="F225" s="81" t="n"/>
      <c r="G225" s="81" t="n"/>
      <c r="H225" s="81" t="n"/>
      <c r="I225" s="81" t="n"/>
      <c r="J225" s="81" t="n"/>
      <c r="K225" s="81" t="n"/>
      <c r="L225" s="113" t="n"/>
      <c r="M225" s="81" t="n"/>
      <c r="N225" s="81" t="n"/>
      <c r="O225" s="81" t="n"/>
      <c r="P225" s="81" t="n"/>
      <c r="Q225" s="113" t="n"/>
      <c r="R225" s="113" t="n"/>
      <c r="S225" s="113" t="n"/>
      <c r="T225" s="81" t="n"/>
      <c r="U225" s="81" t="n"/>
      <c r="V225" s="113" t="n"/>
      <c r="W225" s="81" t="n"/>
      <c r="X225" s="81" t="n"/>
      <c r="Y225" s="81" t="n"/>
      <c r="Z225" s="81" t="n"/>
      <c r="AA225" s="81" t="n"/>
      <c r="AB225" s="81" t="n"/>
      <c r="AC225" s="81" t="n"/>
      <c r="AD225" s="81" t="n"/>
      <c r="AE225" s="81" t="n"/>
      <c r="AF225" s="81" t="n"/>
      <c r="AG225" s="81" t="n"/>
      <c r="AH225" s="113" t="n"/>
      <c r="AI225" s="81" t="n"/>
      <c r="AJ225" s="81" t="n"/>
      <c r="AK225" s="113" t="n"/>
      <c r="AL225" s="81" t="n"/>
      <c r="AM225" s="81" t="n"/>
      <c r="AN225" s="81" t="n"/>
      <c r="AO225" s="113" t="n"/>
      <c r="AP225" s="113" t="n"/>
      <c r="AQ225" s="81" t="n"/>
      <c r="AR225" s="113" t="n"/>
      <c r="AS225" s="113" t="n"/>
      <c r="AT225" s="114" t="n"/>
      <c r="AU225" s="81" t="n"/>
      <c r="AV225" s="114" t="n"/>
      <c r="AW225" s="114" t="n"/>
      <c r="AX225" s="81" t="n"/>
      <c r="AY225" s="113" t="n"/>
      <c r="AZ225" s="115">
        <f>IF($B225="","",COUNTIF(References!$A$4:$A$503,$A225))</f>
        <v/>
      </c>
      <c r="BA225" s="115">
        <f>IF($B225="","",(LEN(A225)=0)+(LEN(B225)=0)+(LEN(D225)=0)+(LEN(G225)=0)+(LEN(H225)=0)+(LEN(I225)=0)+(LEN(J225)=0)+(LEN(L225)=0)+(LEN(M225)=0)+(LEN(O225)=0)+(LEN(R225)=0)+(LEN(X225)=0)+(LEN(AI225)=0)+(LEN(AJ225)=0)+(LEN(AQ225)=0)+(LEN(AR225)=0)+(LEN(AT225)=0)+(LEN(AU225)=0)+(LEN(AV225)=0)+(LEN(AX225)=0))</f>
        <v/>
      </c>
      <c r="BB225" s="115">
        <f>IF($B225="","",IF(AND(BA225=0,AZ225&gt;=1),"Complete","Incomplete"))</f>
        <v/>
      </c>
    </row>
    <row r="226" ht="15" customHeight="1" s="62">
      <c r="A226" s="81" t="n"/>
      <c r="B226" s="113" t="n"/>
      <c r="C226" s="81" t="n"/>
      <c r="D226" s="81" t="n"/>
      <c r="E226" s="81" t="n"/>
      <c r="F226" s="81" t="n"/>
      <c r="G226" s="81" t="n"/>
      <c r="H226" s="81" t="n"/>
      <c r="I226" s="81" t="n"/>
      <c r="J226" s="81" t="n"/>
      <c r="K226" s="81" t="n"/>
      <c r="L226" s="113" t="n"/>
      <c r="M226" s="81" t="n"/>
      <c r="N226" s="81" t="n"/>
      <c r="O226" s="81" t="n"/>
      <c r="P226" s="81" t="n"/>
      <c r="Q226" s="113" t="n"/>
      <c r="R226" s="113" t="n"/>
      <c r="S226" s="113" t="n"/>
      <c r="T226" s="81" t="n"/>
      <c r="U226" s="81" t="n"/>
      <c r="V226" s="113" t="n"/>
      <c r="W226" s="81" t="n"/>
      <c r="X226" s="81" t="n"/>
      <c r="Y226" s="81" t="n"/>
      <c r="Z226" s="81" t="n"/>
      <c r="AA226" s="81" t="n"/>
      <c r="AB226" s="81" t="n"/>
      <c r="AC226" s="81" t="n"/>
      <c r="AD226" s="81" t="n"/>
      <c r="AE226" s="81" t="n"/>
      <c r="AF226" s="81" t="n"/>
      <c r="AG226" s="81" t="n"/>
      <c r="AH226" s="113" t="n"/>
      <c r="AI226" s="81" t="n"/>
      <c r="AJ226" s="81" t="n"/>
      <c r="AK226" s="113" t="n"/>
      <c r="AL226" s="81" t="n"/>
      <c r="AM226" s="81" t="n"/>
      <c r="AN226" s="81" t="n"/>
      <c r="AO226" s="113" t="n"/>
      <c r="AP226" s="113" t="n"/>
      <c r="AQ226" s="81" t="n"/>
      <c r="AR226" s="113" t="n"/>
      <c r="AS226" s="113" t="n"/>
      <c r="AT226" s="114" t="n"/>
      <c r="AU226" s="81" t="n"/>
      <c r="AV226" s="114" t="n"/>
      <c r="AW226" s="114" t="n"/>
      <c r="AX226" s="81" t="n"/>
      <c r="AY226" s="113" t="n"/>
      <c r="AZ226" s="115">
        <f>IF($B226="","",COUNTIF(References!$A$4:$A$503,$A226))</f>
        <v/>
      </c>
      <c r="BA226" s="115">
        <f>IF($B226="","",(LEN(A226)=0)+(LEN(B226)=0)+(LEN(D226)=0)+(LEN(G226)=0)+(LEN(H226)=0)+(LEN(I226)=0)+(LEN(J226)=0)+(LEN(L226)=0)+(LEN(M226)=0)+(LEN(O226)=0)+(LEN(R226)=0)+(LEN(X226)=0)+(LEN(AI226)=0)+(LEN(AJ226)=0)+(LEN(AQ226)=0)+(LEN(AR226)=0)+(LEN(AT226)=0)+(LEN(AU226)=0)+(LEN(AV226)=0)+(LEN(AX226)=0))</f>
        <v/>
      </c>
      <c r="BB226" s="115">
        <f>IF($B226="","",IF(AND(BA226=0,AZ226&gt;=1),"Complete","Incomplete"))</f>
        <v/>
      </c>
    </row>
    <row r="227" ht="15" customHeight="1" s="62">
      <c r="A227" s="81" t="n"/>
      <c r="B227" s="113" t="n"/>
      <c r="C227" s="81" t="n"/>
      <c r="D227" s="81" t="n"/>
      <c r="E227" s="81" t="n"/>
      <c r="F227" s="81" t="n"/>
      <c r="G227" s="81" t="n"/>
      <c r="H227" s="81" t="n"/>
      <c r="I227" s="81" t="n"/>
      <c r="J227" s="81" t="n"/>
      <c r="K227" s="81" t="n"/>
      <c r="L227" s="113" t="n"/>
      <c r="M227" s="81" t="n"/>
      <c r="N227" s="81" t="n"/>
      <c r="O227" s="81" t="n"/>
      <c r="P227" s="81" t="n"/>
      <c r="Q227" s="113" t="n"/>
      <c r="R227" s="113" t="n"/>
      <c r="S227" s="113" t="n"/>
      <c r="T227" s="81" t="n"/>
      <c r="U227" s="81" t="n"/>
      <c r="V227" s="113" t="n"/>
      <c r="W227" s="81" t="n"/>
      <c r="X227" s="81" t="n"/>
      <c r="Y227" s="81" t="n"/>
      <c r="Z227" s="81" t="n"/>
      <c r="AA227" s="81" t="n"/>
      <c r="AB227" s="81" t="n"/>
      <c r="AC227" s="81" t="n"/>
      <c r="AD227" s="81" t="n"/>
      <c r="AE227" s="81" t="n"/>
      <c r="AF227" s="81" t="n"/>
      <c r="AG227" s="81" t="n"/>
      <c r="AH227" s="113" t="n"/>
      <c r="AI227" s="81" t="n"/>
      <c r="AJ227" s="81" t="n"/>
      <c r="AK227" s="113" t="n"/>
      <c r="AL227" s="81" t="n"/>
      <c r="AM227" s="81" t="n"/>
      <c r="AN227" s="81" t="n"/>
      <c r="AO227" s="113" t="n"/>
      <c r="AP227" s="113" t="n"/>
      <c r="AQ227" s="81" t="n"/>
      <c r="AR227" s="113" t="n"/>
      <c r="AS227" s="113" t="n"/>
      <c r="AT227" s="114" t="n"/>
      <c r="AU227" s="81" t="n"/>
      <c r="AV227" s="114" t="n"/>
      <c r="AW227" s="114" t="n"/>
      <c r="AX227" s="81" t="n"/>
      <c r="AY227" s="113" t="n"/>
      <c r="AZ227" s="115">
        <f>IF($B227="","",COUNTIF(References!$A$4:$A$503,$A227))</f>
        <v/>
      </c>
      <c r="BA227" s="115">
        <f>IF($B227="","",(LEN(A227)=0)+(LEN(B227)=0)+(LEN(D227)=0)+(LEN(G227)=0)+(LEN(H227)=0)+(LEN(I227)=0)+(LEN(J227)=0)+(LEN(L227)=0)+(LEN(M227)=0)+(LEN(O227)=0)+(LEN(R227)=0)+(LEN(X227)=0)+(LEN(AI227)=0)+(LEN(AJ227)=0)+(LEN(AQ227)=0)+(LEN(AR227)=0)+(LEN(AT227)=0)+(LEN(AU227)=0)+(LEN(AV227)=0)+(LEN(AX227)=0))</f>
        <v/>
      </c>
      <c r="BB227" s="115">
        <f>IF($B227="","",IF(AND(BA227=0,AZ227&gt;=1),"Complete","Incomplete"))</f>
        <v/>
      </c>
    </row>
    <row r="228" ht="15" customHeight="1" s="62">
      <c r="A228" s="81" t="n"/>
      <c r="B228" s="113" t="n"/>
      <c r="C228" s="81" t="n"/>
      <c r="D228" s="81" t="n"/>
      <c r="E228" s="81" t="n"/>
      <c r="F228" s="81" t="n"/>
      <c r="G228" s="81" t="n"/>
      <c r="H228" s="81" t="n"/>
      <c r="I228" s="81" t="n"/>
      <c r="J228" s="81" t="n"/>
      <c r="K228" s="81" t="n"/>
      <c r="L228" s="113" t="n"/>
      <c r="M228" s="81" t="n"/>
      <c r="N228" s="81" t="n"/>
      <c r="O228" s="81" t="n"/>
      <c r="P228" s="81" t="n"/>
      <c r="Q228" s="113" t="n"/>
      <c r="R228" s="113" t="n"/>
      <c r="S228" s="113" t="n"/>
      <c r="T228" s="81" t="n"/>
      <c r="U228" s="81" t="n"/>
      <c r="V228" s="113" t="n"/>
      <c r="W228" s="81" t="n"/>
      <c r="X228" s="81" t="n"/>
      <c r="Y228" s="81" t="n"/>
      <c r="Z228" s="81" t="n"/>
      <c r="AA228" s="81" t="n"/>
      <c r="AB228" s="81" t="n"/>
      <c r="AC228" s="81" t="n"/>
      <c r="AD228" s="81" t="n"/>
      <c r="AE228" s="81" t="n"/>
      <c r="AF228" s="81" t="n"/>
      <c r="AG228" s="81" t="n"/>
      <c r="AH228" s="113" t="n"/>
      <c r="AI228" s="81" t="n"/>
      <c r="AJ228" s="81" t="n"/>
      <c r="AK228" s="113" t="n"/>
      <c r="AL228" s="81" t="n"/>
      <c r="AM228" s="81" t="n"/>
      <c r="AN228" s="81" t="n"/>
      <c r="AO228" s="113" t="n"/>
      <c r="AP228" s="113" t="n"/>
      <c r="AQ228" s="81" t="n"/>
      <c r="AR228" s="113" t="n"/>
      <c r="AS228" s="113" t="n"/>
      <c r="AT228" s="114" t="n"/>
      <c r="AU228" s="81" t="n"/>
      <c r="AV228" s="114" t="n"/>
      <c r="AW228" s="114" t="n"/>
      <c r="AX228" s="81" t="n"/>
      <c r="AY228" s="113" t="n"/>
      <c r="AZ228" s="115">
        <f>IF($B228="","",COUNTIF(References!$A$4:$A$503,$A228))</f>
        <v/>
      </c>
      <c r="BA228" s="115">
        <f>IF($B228="","",(LEN(A228)=0)+(LEN(B228)=0)+(LEN(D228)=0)+(LEN(G228)=0)+(LEN(H228)=0)+(LEN(I228)=0)+(LEN(J228)=0)+(LEN(L228)=0)+(LEN(M228)=0)+(LEN(O228)=0)+(LEN(R228)=0)+(LEN(X228)=0)+(LEN(AI228)=0)+(LEN(AJ228)=0)+(LEN(AQ228)=0)+(LEN(AR228)=0)+(LEN(AT228)=0)+(LEN(AU228)=0)+(LEN(AV228)=0)+(LEN(AX228)=0))</f>
        <v/>
      </c>
      <c r="BB228" s="115">
        <f>IF($B228="","",IF(AND(BA228=0,AZ228&gt;=1),"Complete","Incomplete"))</f>
        <v/>
      </c>
    </row>
    <row r="229" ht="15" customHeight="1" s="62">
      <c r="A229" s="81" t="n"/>
      <c r="B229" s="113" t="n"/>
      <c r="C229" s="81" t="n"/>
      <c r="D229" s="81" t="n"/>
      <c r="E229" s="81" t="n"/>
      <c r="F229" s="81" t="n"/>
      <c r="G229" s="81" t="n"/>
      <c r="H229" s="81" t="n"/>
      <c r="I229" s="81" t="n"/>
      <c r="J229" s="81" t="n"/>
      <c r="K229" s="81" t="n"/>
      <c r="L229" s="113" t="n"/>
      <c r="M229" s="81" t="n"/>
      <c r="N229" s="81" t="n"/>
      <c r="O229" s="81" t="n"/>
      <c r="P229" s="81" t="n"/>
      <c r="Q229" s="113" t="n"/>
      <c r="R229" s="113" t="n"/>
      <c r="S229" s="113" t="n"/>
      <c r="T229" s="81" t="n"/>
      <c r="U229" s="81" t="n"/>
      <c r="V229" s="113" t="n"/>
      <c r="W229" s="81" t="n"/>
      <c r="X229" s="81" t="n"/>
      <c r="Y229" s="81" t="n"/>
      <c r="Z229" s="81" t="n"/>
      <c r="AA229" s="81" t="n"/>
      <c r="AB229" s="81" t="n"/>
      <c r="AC229" s="81" t="n"/>
      <c r="AD229" s="81" t="n"/>
      <c r="AE229" s="81" t="n"/>
      <c r="AF229" s="81" t="n"/>
      <c r="AG229" s="81" t="n"/>
      <c r="AH229" s="113" t="n"/>
      <c r="AI229" s="81" t="n"/>
      <c r="AJ229" s="81" t="n"/>
      <c r="AK229" s="113" t="n"/>
      <c r="AL229" s="81" t="n"/>
      <c r="AM229" s="81" t="n"/>
      <c r="AN229" s="81" t="n"/>
      <c r="AO229" s="113" t="n"/>
      <c r="AP229" s="113" t="n"/>
      <c r="AQ229" s="81" t="n"/>
      <c r="AR229" s="113" t="n"/>
      <c r="AS229" s="113" t="n"/>
      <c r="AT229" s="114" t="n"/>
      <c r="AU229" s="81" t="n"/>
      <c r="AV229" s="114" t="n"/>
      <c r="AW229" s="114" t="n"/>
      <c r="AX229" s="81" t="n"/>
      <c r="AY229" s="113" t="n"/>
      <c r="AZ229" s="115">
        <f>IF($B229="","",COUNTIF(References!$A$4:$A$503,$A229))</f>
        <v/>
      </c>
      <c r="BA229" s="115">
        <f>IF($B229="","",(LEN(A229)=0)+(LEN(B229)=0)+(LEN(D229)=0)+(LEN(G229)=0)+(LEN(H229)=0)+(LEN(I229)=0)+(LEN(J229)=0)+(LEN(L229)=0)+(LEN(M229)=0)+(LEN(O229)=0)+(LEN(R229)=0)+(LEN(X229)=0)+(LEN(AI229)=0)+(LEN(AJ229)=0)+(LEN(AQ229)=0)+(LEN(AR229)=0)+(LEN(AT229)=0)+(LEN(AU229)=0)+(LEN(AV229)=0)+(LEN(AX229)=0))</f>
        <v/>
      </c>
      <c r="BB229" s="115">
        <f>IF($B229="","",IF(AND(BA229=0,AZ229&gt;=1),"Complete","Incomplete"))</f>
        <v/>
      </c>
    </row>
    <row r="230" ht="15" customHeight="1" s="62">
      <c r="A230" s="81" t="n"/>
      <c r="B230" s="113" t="n"/>
      <c r="C230" s="81" t="n"/>
      <c r="D230" s="81" t="n"/>
      <c r="E230" s="81" t="n"/>
      <c r="F230" s="81" t="n"/>
      <c r="G230" s="81" t="n"/>
      <c r="H230" s="81" t="n"/>
      <c r="I230" s="81" t="n"/>
      <c r="J230" s="81" t="n"/>
      <c r="K230" s="81" t="n"/>
      <c r="L230" s="113" t="n"/>
      <c r="M230" s="81" t="n"/>
      <c r="N230" s="81" t="n"/>
      <c r="O230" s="81" t="n"/>
      <c r="P230" s="81" t="n"/>
      <c r="Q230" s="113" t="n"/>
      <c r="R230" s="113" t="n"/>
      <c r="S230" s="113" t="n"/>
      <c r="T230" s="81" t="n"/>
      <c r="U230" s="81" t="n"/>
      <c r="V230" s="113" t="n"/>
      <c r="W230" s="81" t="n"/>
      <c r="X230" s="81" t="n"/>
      <c r="Y230" s="81" t="n"/>
      <c r="Z230" s="81" t="n"/>
      <c r="AA230" s="81" t="n"/>
      <c r="AB230" s="81" t="n"/>
      <c r="AC230" s="81" t="n"/>
      <c r="AD230" s="81" t="n"/>
      <c r="AE230" s="81" t="n"/>
      <c r="AF230" s="81" t="n"/>
      <c r="AG230" s="81" t="n"/>
      <c r="AH230" s="113" t="n"/>
      <c r="AI230" s="81" t="n"/>
      <c r="AJ230" s="81" t="n"/>
      <c r="AK230" s="113" t="n"/>
      <c r="AL230" s="81" t="n"/>
      <c r="AM230" s="81" t="n"/>
      <c r="AN230" s="81" t="n"/>
      <c r="AO230" s="113" t="n"/>
      <c r="AP230" s="113" t="n"/>
      <c r="AQ230" s="81" t="n"/>
      <c r="AR230" s="113" t="n"/>
      <c r="AS230" s="113" t="n"/>
      <c r="AT230" s="114" t="n"/>
      <c r="AU230" s="81" t="n"/>
      <c r="AV230" s="114" t="n"/>
      <c r="AW230" s="114" t="n"/>
      <c r="AX230" s="81" t="n"/>
      <c r="AY230" s="113" t="n"/>
      <c r="AZ230" s="115">
        <f>IF($B230="","",COUNTIF(References!$A$4:$A$503,$A230))</f>
        <v/>
      </c>
      <c r="BA230" s="115">
        <f>IF($B230="","",(LEN(A230)=0)+(LEN(B230)=0)+(LEN(D230)=0)+(LEN(G230)=0)+(LEN(H230)=0)+(LEN(I230)=0)+(LEN(J230)=0)+(LEN(L230)=0)+(LEN(M230)=0)+(LEN(O230)=0)+(LEN(R230)=0)+(LEN(X230)=0)+(LEN(AI230)=0)+(LEN(AJ230)=0)+(LEN(AQ230)=0)+(LEN(AR230)=0)+(LEN(AT230)=0)+(LEN(AU230)=0)+(LEN(AV230)=0)+(LEN(AX230)=0))</f>
        <v/>
      </c>
      <c r="BB230" s="115">
        <f>IF($B230="","",IF(AND(BA230=0,AZ230&gt;=1),"Complete","Incomplete"))</f>
        <v/>
      </c>
    </row>
    <row r="231" ht="15" customHeight="1" s="62">
      <c r="A231" s="81" t="n"/>
      <c r="B231" s="113" t="n"/>
      <c r="C231" s="81" t="n"/>
      <c r="D231" s="81" t="n"/>
      <c r="E231" s="81" t="n"/>
      <c r="F231" s="81" t="n"/>
      <c r="G231" s="81" t="n"/>
      <c r="H231" s="81" t="n"/>
      <c r="I231" s="81" t="n"/>
      <c r="J231" s="81" t="n"/>
      <c r="K231" s="81" t="n"/>
      <c r="L231" s="113" t="n"/>
      <c r="M231" s="81" t="n"/>
      <c r="N231" s="81" t="n"/>
      <c r="O231" s="81" t="n"/>
      <c r="P231" s="81" t="n"/>
      <c r="Q231" s="113" t="n"/>
      <c r="R231" s="113" t="n"/>
      <c r="S231" s="113" t="n"/>
      <c r="T231" s="81" t="n"/>
      <c r="U231" s="81" t="n"/>
      <c r="V231" s="113" t="n"/>
      <c r="W231" s="81" t="n"/>
      <c r="X231" s="81" t="n"/>
      <c r="Y231" s="81" t="n"/>
      <c r="Z231" s="81" t="n"/>
      <c r="AA231" s="81" t="n"/>
      <c r="AB231" s="81" t="n"/>
      <c r="AC231" s="81" t="n"/>
      <c r="AD231" s="81" t="n"/>
      <c r="AE231" s="81" t="n"/>
      <c r="AF231" s="81" t="n"/>
      <c r="AG231" s="81" t="n"/>
      <c r="AH231" s="113" t="n"/>
      <c r="AI231" s="81" t="n"/>
      <c r="AJ231" s="81" t="n"/>
      <c r="AK231" s="113" t="n"/>
      <c r="AL231" s="81" t="n"/>
      <c r="AM231" s="81" t="n"/>
      <c r="AN231" s="81" t="n"/>
      <c r="AO231" s="113" t="n"/>
      <c r="AP231" s="113" t="n"/>
      <c r="AQ231" s="81" t="n"/>
      <c r="AR231" s="113" t="n"/>
      <c r="AS231" s="113" t="n"/>
      <c r="AT231" s="114" t="n"/>
      <c r="AU231" s="81" t="n"/>
      <c r="AV231" s="114" t="n"/>
      <c r="AW231" s="114" t="n"/>
      <c r="AX231" s="81" t="n"/>
      <c r="AY231" s="113" t="n"/>
      <c r="AZ231" s="115">
        <f>IF($B231="","",COUNTIF(References!$A$4:$A$503,$A231))</f>
        <v/>
      </c>
      <c r="BA231" s="115">
        <f>IF($B231="","",(LEN(A231)=0)+(LEN(B231)=0)+(LEN(D231)=0)+(LEN(G231)=0)+(LEN(H231)=0)+(LEN(I231)=0)+(LEN(J231)=0)+(LEN(L231)=0)+(LEN(M231)=0)+(LEN(O231)=0)+(LEN(R231)=0)+(LEN(X231)=0)+(LEN(AI231)=0)+(LEN(AJ231)=0)+(LEN(AQ231)=0)+(LEN(AR231)=0)+(LEN(AT231)=0)+(LEN(AU231)=0)+(LEN(AV231)=0)+(LEN(AX231)=0))</f>
        <v/>
      </c>
      <c r="BB231" s="115">
        <f>IF($B231="","",IF(AND(BA231=0,AZ231&gt;=1),"Complete","Incomplete"))</f>
        <v/>
      </c>
    </row>
    <row r="232" ht="15" customHeight="1" s="62">
      <c r="A232" s="81" t="n"/>
      <c r="B232" s="113" t="n"/>
      <c r="C232" s="81" t="n"/>
      <c r="D232" s="81" t="n"/>
      <c r="E232" s="81" t="n"/>
      <c r="F232" s="81" t="n"/>
      <c r="G232" s="81" t="n"/>
      <c r="H232" s="81" t="n"/>
      <c r="I232" s="81" t="n"/>
      <c r="J232" s="81" t="n"/>
      <c r="K232" s="81" t="n"/>
      <c r="L232" s="113" t="n"/>
      <c r="M232" s="81" t="n"/>
      <c r="N232" s="81" t="n"/>
      <c r="O232" s="81" t="n"/>
      <c r="P232" s="81" t="n"/>
      <c r="Q232" s="113" t="n"/>
      <c r="R232" s="113" t="n"/>
      <c r="S232" s="113" t="n"/>
      <c r="T232" s="81" t="n"/>
      <c r="U232" s="81" t="n"/>
      <c r="V232" s="113" t="n"/>
      <c r="W232" s="81" t="n"/>
      <c r="X232" s="81" t="n"/>
      <c r="Y232" s="81" t="n"/>
      <c r="Z232" s="81" t="n"/>
      <c r="AA232" s="81" t="n"/>
      <c r="AB232" s="81" t="n"/>
      <c r="AC232" s="81" t="n"/>
      <c r="AD232" s="81" t="n"/>
      <c r="AE232" s="81" t="n"/>
      <c r="AF232" s="81" t="n"/>
      <c r="AG232" s="81" t="n"/>
      <c r="AH232" s="113" t="n"/>
      <c r="AI232" s="81" t="n"/>
      <c r="AJ232" s="81" t="n"/>
      <c r="AK232" s="113" t="n"/>
      <c r="AL232" s="81" t="n"/>
      <c r="AM232" s="81" t="n"/>
      <c r="AN232" s="81" t="n"/>
      <c r="AO232" s="113" t="n"/>
      <c r="AP232" s="113" t="n"/>
      <c r="AQ232" s="81" t="n"/>
      <c r="AR232" s="113" t="n"/>
      <c r="AS232" s="113" t="n"/>
      <c r="AT232" s="114" t="n"/>
      <c r="AU232" s="81" t="n"/>
      <c r="AV232" s="114" t="n"/>
      <c r="AW232" s="114" t="n"/>
      <c r="AX232" s="81" t="n"/>
      <c r="AY232" s="113" t="n"/>
      <c r="AZ232" s="115">
        <f>IF($B232="","",COUNTIF(References!$A$4:$A$503,$A232))</f>
        <v/>
      </c>
      <c r="BA232" s="115">
        <f>IF($B232="","",(LEN(A232)=0)+(LEN(B232)=0)+(LEN(D232)=0)+(LEN(G232)=0)+(LEN(H232)=0)+(LEN(I232)=0)+(LEN(J232)=0)+(LEN(L232)=0)+(LEN(M232)=0)+(LEN(O232)=0)+(LEN(R232)=0)+(LEN(X232)=0)+(LEN(AI232)=0)+(LEN(AJ232)=0)+(LEN(AQ232)=0)+(LEN(AR232)=0)+(LEN(AT232)=0)+(LEN(AU232)=0)+(LEN(AV232)=0)+(LEN(AX232)=0))</f>
        <v/>
      </c>
      <c r="BB232" s="115">
        <f>IF($B232="","",IF(AND(BA232=0,AZ232&gt;=1),"Complete","Incomplete"))</f>
        <v/>
      </c>
    </row>
    <row r="233" ht="15" customHeight="1" s="62">
      <c r="A233" s="81" t="n"/>
      <c r="B233" s="113" t="n"/>
      <c r="C233" s="81" t="n"/>
      <c r="D233" s="81" t="n"/>
      <c r="E233" s="81" t="n"/>
      <c r="F233" s="81" t="n"/>
      <c r="G233" s="81" t="n"/>
      <c r="H233" s="81" t="n"/>
      <c r="I233" s="81" t="n"/>
      <c r="J233" s="81" t="n"/>
      <c r="K233" s="81" t="n"/>
      <c r="L233" s="113" t="n"/>
      <c r="M233" s="81" t="n"/>
      <c r="N233" s="81" t="n"/>
      <c r="O233" s="81" t="n"/>
      <c r="P233" s="81" t="n"/>
      <c r="Q233" s="113" t="n"/>
      <c r="R233" s="113" t="n"/>
      <c r="S233" s="113" t="n"/>
      <c r="T233" s="81" t="n"/>
      <c r="U233" s="81" t="n"/>
      <c r="V233" s="113" t="n"/>
      <c r="W233" s="81" t="n"/>
      <c r="X233" s="81" t="n"/>
      <c r="Y233" s="81" t="n"/>
      <c r="Z233" s="81" t="n"/>
      <c r="AA233" s="81" t="n"/>
      <c r="AB233" s="81" t="n"/>
      <c r="AC233" s="81" t="n"/>
      <c r="AD233" s="81" t="n"/>
      <c r="AE233" s="81" t="n"/>
      <c r="AF233" s="81" t="n"/>
      <c r="AG233" s="81" t="n"/>
      <c r="AH233" s="113" t="n"/>
      <c r="AI233" s="81" t="n"/>
      <c r="AJ233" s="81" t="n"/>
      <c r="AK233" s="113" t="n"/>
      <c r="AL233" s="81" t="n"/>
      <c r="AM233" s="81" t="n"/>
      <c r="AN233" s="81" t="n"/>
      <c r="AO233" s="113" t="n"/>
      <c r="AP233" s="113" t="n"/>
      <c r="AQ233" s="81" t="n"/>
      <c r="AR233" s="113" t="n"/>
      <c r="AS233" s="113" t="n"/>
      <c r="AT233" s="114" t="n"/>
      <c r="AU233" s="81" t="n"/>
      <c r="AV233" s="114" t="n"/>
      <c r="AW233" s="114" t="n"/>
      <c r="AX233" s="81" t="n"/>
      <c r="AY233" s="113" t="n"/>
      <c r="AZ233" s="115">
        <f>IF($B233="","",COUNTIF(References!$A$4:$A$503,$A233))</f>
        <v/>
      </c>
      <c r="BA233" s="115">
        <f>IF($B233="","",(LEN(A233)=0)+(LEN(B233)=0)+(LEN(D233)=0)+(LEN(G233)=0)+(LEN(H233)=0)+(LEN(I233)=0)+(LEN(J233)=0)+(LEN(L233)=0)+(LEN(M233)=0)+(LEN(O233)=0)+(LEN(R233)=0)+(LEN(X233)=0)+(LEN(AI233)=0)+(LEN(AJ233)=0)+(LEN(AQ233)=0)+(LEN(AR233)=0)+(LEN(AT233)=0)+(LEN(AU233)=0)+(LEN(AV233)=0)+(LEN(AX233)=0))</f>
        <v/>
      </c>
      <c r="BB233" s="115">
        <f>IF($B233="","",IF(AND(BA233=0,AZ233&gt;=1),"Complete","Incomplete"))</f>
        <v/>
      </c>
    </row>
    <row r="234" ht="15" customHeight="1" s="62">
      <c r="A234" s="81" t="n"/>
      <c r="B234" s="113" t="n"/>
      <c r="C234" s="81" t="n"/>
      <c r="D234" s="81" t="n"/>
      <c r="E234" s="81" t="n"/>
      <c r="F234" s="81" t="n"/>
      <c r="G234" s="81" t="n"/>
      <c r="H234" s="81" t="n"/>
      <c r="I234" s="81" t="n"/>
      <c r="J234" s="81" t="n"/>
      <c r="K234" s="81" t="n"/>
      <c r="L234" s="113" t="n"/>
      <c r="M234" s="81" t="n"/>
      <c r="N234" s="81" t="n"/>
      <c r="O234" s="81" t="n"/>
      <c r="P234" s="81" t="n"/>
      <c r="Q234" s="113" t="n"/>
      <c r="R234" s="113" t="n"/>
      <c r="S234" s="113" t="n"/>
      <c r="T234" s="81" t="n"/>
      <c r="U234" s="81" t="n"/>
      <c r="V234" s="113" t="n"/>
      <c r="W234" s="81" t="n"/>
      <c r="X234" s="81" t="n"/>
      <c r="Y234" s="81" t="n"/>
      <c r="Z234" s="81" t="n"/>
      <c r="AA234" s="81" t="n"/>
      <c r="AB234" s="81" t="n"/>
      <c r="AC234" s="81" t="n"/>
      <c r="AD234" s="81" t="n"/>
      <c r="AE234" s="81" t="n"/>
      <c r="AF234" s="81" t="n"/>
      <c r="AG234" s="81" t="n"/>
      <c r="AH234" s="113" t="n"/>
      <c r="AI234" s="81" t="n"/>
      <c r="AJ234" s="81" t="n"/>
      <c r="AK234" s="113" t="n"/>
      <c r="AL234" s="81" t="n"/>
      <c r="AM234" s="81" t="n"/>
      <c r="AN234" s="81" t="n"/>
      <c r="AO234" s="113" t="n"/>
      <c r="AP234" s="113" t="n"/>
      <c r="AQ234" s="81" t="n"/>
      <c r="AR234" s="113" t="n"/>
      <c r="AS234" s="113" t="n"/>
      <c r="AT234" s="114" t="n"/>
      <c r="AU234" s="81" t="n"/>
      <c r="AV234" s="114" t="n"/>
      <c r="AW234" s="114" t="n"/>
      <c r="AX234" s="81" t="n"/>
      <c r="AY234" s="113" t="n"/>
      <c r="AZ234" s="115">
        <f>IF($B234="","",COUNTIF(References!$A$4:$A$503,$A234))</f>
        <v/>
      </c>
      <c r="BA234" s="115">
        <f>IF($B234="","",(LEN(A234)=0)+(LEN(B234)=0)+(LEN(D234)=0)+(LEN(G234)=0)+(LEN(H234)=0)+(LEN(I234)=0)+(LEN(J234)=0)+(LEN(L234)=0)+(LEN(M234)=0)+(LEN(O234)=0)+(LEN(R234)=0)+(LEN(X234)=0)+(LEN(AI234)=0)+(LEN(AJ234)=0)+(LEN(AQ234)=0)+(LEN(AR234)=0)+(LEN(AT234)=0)+(LEN(AU234)=0)+(LEN(AV234)=0)+(LEN(AX234)=0))</f>
        <v/>
      </c>
      <c r="BB234" s="115">
        <f>IF($B234="","",IF(AND(BA234=0,AZ234&gt;=1),"Complete","Incomplete"))</f>
        <v/>
      </c>
    </row>
    <row r="235" ht="15" customHeight="1" s="62">
      <c r="A235" s="81" t="n"/>
      <c r="B235" s="113" t="n"/>
      <c r="C235" s="81" t="n"/>
      <c r="D235" s="81" t="n"/>
      <c r="E235" s="81" t="n"/>
      <c r="F235" s="81" t="n"/>
      <c r="G235" s="81" t="n"/>
      <c r="H235" s="81" t="n"/>
      <c r="I235" s="81" t="n"/>
      <c r="J235" s="81" t="n"/>
      <c r="K235" s="81" t="n"/>
      <c r="L235" s="113" t="n"/>
      <c r="M235" s="81" t="n"/>
      <c r="N235" s="81" t="n"/>
      <c r="O235" s="81" t="n"/>
      <c r="P235" s="81" t="n"/>
      <c r="Q235" s="113" t="n"/>
      <c r="R235" s="113" t="n"/>
      <c r="S235" s="113" t="n"/>
      <c r="T235" s="81" t="n"/>
      <c r="U235" s="81" t="n"/>
      <c r="V235" s="113" t="n"/>
      <c r="W235" s="81" t="n"/>
      <c r="X235" s="81" t="n"/>
      <c r="Y235" s="81" t="n"/>
      <c r="Z235" s="81" t="n"/>
      <c r="AA235" s="81" t="n"/>
      <c r="AB235" s="81" t="n"/>
      <c r="AC235" s="81" t="n"/>
      <c r="AD235" s="81" t="n"/>
      <c r="AE235" s="81" t="n"/>
      <c r="AF235" s="81" t="n"/>
      <c r="AG235" s="81" t="n"/>
      <c r="AH235" s="113" t="n"/>
      <c r="AI235" s="81" t="n"/>
      <c r="AJ235" s="81" t="n"/>
      <c r="AK235" s="113" t="n"/>
      <c r="AL235" s="81" t="n"/>
      <c r="AM235" s="81" t="n"/>
      <c r="AN235" s="81" t="n"/>
      <c r="AO235" s="113" t="n"/>
      <c r="AP235" s="113" t="n"/>
      <c r="AQ235" s="81" t="n"/>
      <c r="AR235" s="113" t="n"/>
      <c r="AS235" s="113" t="n"/>
      <c r="AT235" s="114" t="n"/>
      <c r="AU235" s="81" t="n"/>
      <c r="AV235" s="114" t="n"/>
      <c r="AW235" s="114" t="n"/>
      <c r="AX235" s="81" t="n"/>
      <c r="AY235" s="113" t="n"/>
      <c r="AZ235" s="115">
        <f>IF($B235="","",COUNTIF(References!$A$4:$A$503,$A235))</f>
        <v/>
      </c>
      <c r="BA235" s="115">
        <f>IF($B235="","",(LEN(A235)=0)+(LEN(B235)=0)+(LEN(D235)=0)+(LEN(G235)=0)+(LEN(H235)=0)+(LEN(I235)=0)+(LEN(J235)=0)+(LEN(L235)=0)+(LEN(M235)=0)+(LEN(O235)=0)+(LEN(R235)=0)+(LEN(X235)=0)+(LEN(AI235)=0)+(LEN(AJ235)=0)+(LEN(AQ235)=0)+(LEN(AR235)=0)+(LEN(AT235)=0)+(LEN(AU235)=0)+(LEN(AV235)=0)+(LEN(AX235)=0))</f>
        <v/>
      </c>
      <c r="BB235" s="115">
        <f>IF($B235="","",IF(AND(BA235=0,AZ235&gt;=1),"Complete","Incomplete"))</f>
        <v/>
      </c>
    </row>
    <row r="236" ht="15" customHeight="1" s="62">
      <c r="A236" s="81" t="n"/>
      <c r="B236" s="113" t="n"/>
      <c r="C236" s="81" t="n"/>
      <c r="D236" s="81" t="n"/>
      <c r="E236" s="81" t="n"/>
      <c r="F236" s="81" t="n"/>
      <c r="G236" s="81" t="n"/>
      <c r="H236" s="81" t="n"/>
      <c r="I236" s="81" t="n"/>
      <c r="J236" s="81" t="n"/>
      <c r="K236" s="81" t="n"/>
      <c r="L236" s="113" t="n"/>
      <c r="M236" s="81" t="n"/>
      <c r="N236" s="81" t="n"/>
      <c r="O236" s="81" t="n"/>
      <c r="P236" s="81" t="n"/>
      <c r="Q236" s="113" t="n"/>
      <c r="R236" s="113" t="n"/>
      <c r="S236" s="113" t="n"/>
      <c r="T236" s="81" t="n"/>
      <c r="U236" s="81" t="n"/>
      <c r="V236" s="113" t="n"/>
      <c r="W236" s="81" t="n"/>
      <c r="X236" s="81" t="n"/>
      <c r="Y236" s="81" t="n"/>
      <c r="Z236" s="81" t="n"/>
      <c r="AA236" s="81" t="n"/>
      <c r="AB236" s="81" t="n"/>
      <c r="AC236" s="81" t="n"/>
      <c r="AD236" s="81" t="n"/>
      <c r="AE236" s="81" t="n"/>
      <c r="AF236" s="81" t="n"/>
      <c r="AG236" s="81" t="n"/>
      <c r="AH236" s="113" t="n"/>
      <c r="AI236" s="81" t="n"/>
      <c r="AJ236" s="81" t="n"/>
      <c r="AK236" s="113" t="n"/>
      <c r="AL236" s="81" t="n"/>
      <c r="AM236" s="81" t="n"/>
      <c r="AN236" s="81" t="n"/>
      <c r="AO236" s="113" t="n"/>
      <c r="AP236" s="113" t="n"/>
      <c r="AQ236" s="81" t="n"/>
      <c r="AR236" s="113" t="n"/>
      <c r="AS236" s="113" t="n"/>
      <c r="AT236" s="114" t="n"/>
      <c r="AU236" s="81" t="n"/>
      <c r="AV236" s="114" t="n"/>
      <c r="AW236" s="114" t="n"/>
      <c r="AX236" s="81" t="n"/>
      <c r="AY236" s="113" t="n"/>
      <c r="AZ236" s="115">
        <f>IF($B236="","",COUNTIF(References!$A$4:$A$503,$A236))</f>
        <v/>
      </c>
      <c r="BA236" s="115">
        <f>IF($B236="","",(LEN(A236)=0)+(LEN(B236)=0)+(LEN(D236)=0)+(LEN(G236)=0)+(LEN(H236)=0)+(LEN(I236)=0)+(LEN(J236)=0)+(LEN(L236)=0)+(LEN(M236)=0)+(LEN(O236)=0)+(LEN(R236)=0)+(LEN(X236)=0)+(LEN(AI236)=0)+(LEN(AJ236)=0)+(LEN(AQ236)=0)+(LEN(AR236)=0)+(LEN(AT236)=0)+(LEN(AU236)=0)+(LEN(AV236)=0)+(LEN(AX236)=0))</f>
        <v/>
      </c>
      <c r="BB236" s="115">
        <f>IF($B236="","",IF(AND(BA236=0,AZ236&gt;=1),"Complete","Incomplete"))</f>
        <v/>
      </c>
    </row>
    <row r="237" ht="15" customHeight="1" s="62">
      <c r="A237" s="81" t="n"/>
      <c r="B237" s="113" t="n"/>
      <c r="C237" s="81" t="n"/>
      <c r="D237" s="81" t="n"/>
      <c r="E237" s="81" t="n"/>
      <c r="F237" s="81" t="n"/>
      <c r="G237" s="81" t="n"/>
      <c r="H237" s="81" t="n"/>
      <c r="I237" s="81" t="n"/>
      <c r="J237" s="81" t="n"/>
      <c r="K237" s="81" t="n"/>
      <c r="L237" s="113" t="n"/>
      <c r="M237" s="81" t="n"/>
      <c r="N237" s="81" t="n"/>
      <c r="O237" s="81" t="n"/>
      <c r="P237" s="81" t="n"/>
      <c r="Q237" s="113" t="n"/>
      <c r="R237" s="113" t="n"/>
      <c r="S237" s="113" t="n"/>
      <c r="T237" s="81" t="n"/>
      <c r="U237" s="81" t="n"/>
      <c r="V237" s="113" t="n"/>
      <c r="W237" s="81" t="n"/>
      <c r="X237" s="81" t="n"/>
      <c r="Y237" s="81" t="n"/>
      <c r="Z237" s="81" t="n"/>
      <c r="AA237" s="81" t="n"/>
      <c r="AB237" s="81" t="n"/>
      <c r="AC237" s="81" t="n"/>
      <c r="AD237" s="81" t="n"/>
      <c r="AE237" s="81" t="n"/>
      <c r="AF237" s="81" t="n"/>
      <c r="AG237" s="81" t="n"/>
      <c r="AH237" s="113" t="n"/>
      <c r="AI237" s="81" t="n"/>
      <c r="AJ237" s="81" t="n"/>
      <c r="AK237" s="113" t="n"/>
      <c r="AL237" s="81" t="n"/>
      <c r="AM237" s="81" t="n"/>
      <c r="AN237" s="81" t="n"/>
      <c r="AO237" s="113" t="n"/>
      <c r="AP237" s="113" t="n"/>
      <c r="AQ237" s="81" t="n"/>
      <c r="AR237" s="113" t="n"/>
      <c r="AS237" s="113" t="n"/>
      <c r="AT237" s="114" t="n"/>
      <c r="AU237" s="81" t="n"/>
      <c r="AV237" s="114" t="n"/>
      <c r="AW237" s="114" t="n"/>
      <c r="AX237" s="81" t="n"/>
      <c r="AY237" s="113" t="n"/>
      <c r="AZ237" s="115">
        <f>IF($B237="","",COUNTIF(References!$A$4:$A$503,$A237))</f>
        <v/>
      </c>
      <c r="BA237" s="115">
        <f>IF($B237="","",(LEN(A237)=0)+(LEN(B237)=0)+(LEN(D237)=0)+(LEN(G237)=0)+(LEN(H237)=0)+(LEN(I237)=0)+(LEN(J237)=0)+(LEN(L237)=0)+(LEN(M237)=0)+(LEN(O237)=0)+(LEN(R237)=0)+(LEN(X237)=0)+(LEN(AI237)=0)+(LEN(AJ237)=0)+(LEN(AQ237)=0)+(LEN(AR237)=0)+(LEN(AT237)=0)+(LEN(AU237)=0)+(LEN(AV237)=0)+(LEN(AX237)=0))</f>
        <v/>
      </c>
      <c r="BB237" s="115">
        <f>IF($B237="","",IF(AND(BA237=0,AZ237&gt;=1),"Complete","Incomplete"))</f>
        <v/>
      </c>
    </row>
    <row r="238" ht="15" customHeight="1" s="62">
      <c r="A238" s="81" t="n"/>
      <c r="B238" s="113" t="n"/>
      <c r="C238" s="81" t="n"/>
      <c r="D238" s="81" t="n"/>
      <c r="E238" s="81" t="n"/>
      <c r="F238" s="81" t="n"/>
      <c r="G238" s="81" t="n"/>
      <c r="H238" s="81" t="n"/>
      <c r="I238" s="81" t="n"/>
      <c r="J238" s="81" t="n"/>
      <c r="K238" s="81" t="n"/>
      <c r="L238" s="113" t="n"/>
      <c r="M238" s="81" t="n"/>
      <c r="N238" s="81" t="n"/>
      <c r="O238" s="81" t="n"/>
      <c r="P238" s="81" t="n"/>
      <c r="Q238" s="113" t="n"/>
      <c r="R238" s="113" t="n"/>
      <c r="S238" s="113" t="n"/>
      <c r="T238" s="81" t="n"/>
      <c r="U238" s="81" t="n"/>
      <c r="V238" s="113" t="n"/>
      <c r="W238" s="81" t="n"/>
      <c r="X238" s="81" t="n"/>
      <c r="Y238" s="81" t="n"/>
      <c r="Z238" s="81" t="n"/>
      <c r="AA238" s="81" t="n"/>
      <c r="AB238" s="81" t="n"/>
      <c r="AC238" s="81" t="n"/>
      <c r="AD238" s="81" t="n"/>
      <c r="AE238" s="81" t="n"/>
      <c r="AF238" s="81" t="n"/>
      <c r="AG238" s="81" t="n"/>
      <c r="AH238" s="113" t="n"/>
      <c r="AI238" s="81" t="n"/>
      <c r="AJ238" s="81" t="n"/>
      <c r="AK238" s="113" t="n"/>
      <c r="AL238" s="81" t="n"/>
      <c r="AM238" s="81" t="n"/>
      <c r="AN238" s="81" t="n"/>
      <c r="AO238" s="113" t="n"/>
      <c r="AP238" s="113" t="n"/>
      <c r="AQ238" s="81" t="n"/>
      <c r="AR238" s="113" t="n"/>
      <c r="AS238" s="113" t="n"/>
      <c r="AT238" s="114" t="n"/>
      <c r="AU238" s="81" t="n"/>
      <c r="AV238" s="114" t="n"/>
      <c r="AW238" s="114" t="n"/>
      <c r="AX238" s="81" t="n"/>
      <c r="AY238" s="113" t="n"/>
      <c r="AZ238" s="115">
        <f>IF($B238="","",COUNTIF(References!$A$4:$A$503,$A238))</f>
        <v/>
      </c>
      <c r="BA238" s="115">
        <f>IF($B238="","",(LEN(A238)=0)+(LEN(B238)=0)+(LEN(D238)=0)+(LEN(G238)=0)+(LEN(H238)=0)+(LEN(I238)=0)+(LEN(J238)=0)+(LEN(L238)=0)+(LEN(M238)=0)+(LEN(O238)=0)+(LEN(R238)=0)+(LEN(X238)=0)+(LEN(AI238)=0)+(LEN(AJ238)=0)+(LEN(AQ238)=0)+(LEN(AR238)=0)+(LEN(AT238)=0)+(LEN(AU238)=0)+(LEN(AV238)=0)+(LEN(AX238)=0))</f>
        <v/>
      </c>
      <c r="BB238" s="115">
        <f>IF($B238="","",IF(AND(BA238=0,AZ238&gt;=1),"Complete","Incomplete"))</f>
        <v/>
      </c>
    </row>
    <row r="239" ht="15" customHeight="1" s="62">
      <c r="A239" s="81" t="n"/>
      <c r="B239" s="113" t="n"/>
      <c r="C239" s="81" t="n"/>
      <c r="D239" s="81" t="n"/>
      <c r="E239" s="81" t="n"/>
      <c r="F239" s="81" t="n"/>
      <c r="G239" s="81" t="n"/>
      <c r="H239" s="81" t="n"/>
      <c r="I239" s="81" t="n"/>
      <c r="J239" s="81" t="n"/>
      <c r="K239" s="81" t="n"/>
      <c r="L239" s="113" t="n"/>
      <c r="M239" s="81" t="n"/>
      <c r="N239" s="81" t="n"/>
      <c r="O239" s="81" t="n"/>
      <c r="P239" s="81" t="n"/>
      <c r="Q239" s="113" t="n"/>
      <c r="R239" s="113" t="n"/>
      <c r="S239" s="113" t="n"/>
      <c r="T239" s="81" t="n"/>
      <c r="U239" s="81" t="n"/>
      <c r="V239" s="113" t="n"/>
      <c r="W239" s="81" t="n"/>
      <c r="X239" s="81" t="n"/>
      <c r="Y239" s="81" t="n"/>
      <c r="Z239" s="81" t="n"/>
      <c r="AA239" s="81" t="n"/>
      <c r="AB239" s="81" t="n"/>
      <c r="AC239" s="81" t="n"/>
      <c r="AD239" s="81" t="n"/>
      <c r="AE239" s="81" t="n"/>
      <c r="AF239" s="81" t="n"/>
      <c r="AG239" s="81" t="n"/>
      <c r="AH239" s="113" t="n"/>
      <c r="AI239" s="81" t="n"/>
      <c r="AJ239" s="81" t="n"/>
      <c r="AK239" s="113" t="n"/>
      <c r="AL239" s="81" t="n"/>
      <c r="AM239" s="81" t="n"/>
      <c r="AN239" s="81" t="n"/>
      <c r="AO239" s="113" t="n"/>
      <c r="AP239" s="113" t="n"/>
      <c r="AQ239" s="81" t="n"/>
      <c r="AR239" s="113" t="n"/>
      <c r="AS239" s="113" t="n"/>
      <c r="AT239" s="114" t="n"/>
      <c r="AU239" s="81" t="n"/>
      <c r="AV239" s="114" t="n"/>
      <c r="AW239" s="114" t="n"/>
      <c r="AX239" s="81" t="n"/>
      <c r="AY239" s="113" t="n"/>
      <c r="AZ239" s="115">
        <f>IF($B239="","",COUNTIF(References!$A$4:$A$503,$A239))</f>
        <v/>
      </c>
      <c r="BA239" s="115">
        <f>IF($B239="","",(LEN(A239)=0)+(LEN(B239)=0)+(LEN(D239)=0)+(LEN(G239)=0)+(LEN(H239)=0)+(LEN(I239)=0)+(LEN(J239)=0)+(LEN(L239)=0)+(LEN(M239)=0)+(LEN(O239)=0)+(LEN(R239)=0)+(LEN(X239)=0)+(LEN(AI239)=0)+(LEN(AJ239)=0)+(LEN(AQ239)=0)+(LEN(AR239)=0)+(LEN(AT239)=0)+(LEN(AU239)=0)+(LEN(AV239)=0)+(LEN(AX239)=0))</f>
        <v/>
      </c>
      <c r="BB239" s="115">
        <f>IF($B239="","",IF(AND(BA239=0,AZ239&gt;=1),"Complete","Incomplete"))</f>
        <v/>
      </c>
    </row>
    <row r="240" ht="15" customHeight="1" s="62">
      <c r="A240" s="81" t="n"/>
      <c r="B240" s="113" t="n"/>
      <c r="C240" s="81" t="n"/>
      <c r="D240" s="81" t="n"/>
      <c r="E240" s="81" t="n"/>
      <c r="F240" s="81" t="n"/>
      <c r="G240" s="81" t="n"/>
      <c r="H240" s="81" t="n"/>
      <c r="I240" s="81" t="n"/>
      <c r="J240" s="81" t="n"/>
      <c r="K240" s="81" t="n"/>
      <c r="L240" s="113" t="n"/>
      <c r="M240" s="81" t="n"/>
      <c r="N240" s="81" t="n"/>
      <c r="O240" s="81" t="n"/>
      <c r="P240" s="81" t="n"/>
      <c r="Q240" s="113" t="n"/>
      <c r="R240" s="113" t="n"/>
      <c r="S240" s="113" t="n"/>
      <c r="T240" s="81" t="n"/>
      <c r="U240" s="81" t="n"/>
      <c r="V240" s="113" t="n"/>
      <c r="W240" s="81" t="n"/>
      <c r="X240" s="81" t="n"/>
      <c r="Y240" s="81" t="n"/>
      <c r="Z240" s="81" t="n"/>
      <c r="AA240" s="81" t="n"/>
      <c r="AB240" s="81" t="n"/>
      <c r="AC240" s="81" t="n"/>
      <c r="AD240" s="81" t="n"/>
      <c r="AE240" s="81" t="n"/>
      <c r="AF240" s="81" t="n"/>
      <c r="AG240" s="81" t="n"/>
      <c r="AH240" s="113" t="n"/>
      <c r="AI240" s="81" t="n"/>
      <c r="AJ240" s="81" t="n"/>
      <c r="AK240" s="113" t="n"/>
      <c r="AL240" s="81" t="n"/>
      <c r="AM240" s="81" t="n"/>
      <c r="AN240" s="81" t="n"/>
      <c r="AO240" s="113" t="n"/>
      <c r="AP240" s="113" t="n"/>
      <c r="AQ240" s="81" t="n"/>
      <c r="AR240" s="113" t="n"/>
      <c r="AS240" s="113" t="n"/>
      <c r="AT240" s="114" t="n"/>
      <c r="AU240" s="81" t="n"/>
      <c r="AV240" s="114" t="n"/>
      <c r="AW240" s="114" t="n"/>
      <c r="AX240" s="81" t="n"/>
      <c r="AY240" s="113" t="n"/>
      <c r="AZ240" s="115">
        <f>IF($B240="","",COUNTIF(References!$A$4:$A$503,$A240))</f>
        <v/>
      </c>
      <c r="BA240" s="115">
        <f>IF($B240="","",(LEN(A240)=0)+(LEN(B240)=0)+(LEN(D240)=0)+(LEN(G240)=0)+(LEN(H240)=0)+(LEN(I240)=0)+(LEN(J240)=0)+(LEN(L240)=0)+(LEN(M240)=0)+(LEN(O240)=0)+(LEN(R240)=0)+(LEN(X240)=0)+(LEN(AI240)=0)+(LEN(AJ240)=0)+(LEN(AQ240)=0)+(LEN(AR240)=0)+(LEN(AT240)=0)+(LEN(AU240)=0)+(LEN(AV240)=0)+(LEN(AX240)=0))</f>
        <v/>
      </c>
      <c r="BB240" s="115">
        <f>IF($B240="","",IF(AND(BA240=0,AZ240&gt;=1),"Complete","Incomplete"))</f>
        <v/>
      </c>
    </row>
    <row r="241" ht="15" customHeight="1" s="62">
      <c r="A241" s="81" t="n"/>
      <c r="B241" s="113" t="n"/>
      <c r="C241" s="81" t="n"/>
      <c r="D241" s="81" t="n"/>
      <c r="E241" s="81" t="n"/>
      <c r="F241" s="81" t="n"/>
      <c r="G241" s="81" t="n"/>
      <c r="H241" s="81" t="n"/>
      <c r="I241" s="81" t="n"/>
      <c r="J241" s="81" t="n"/>
      <c r="K241" s="81" t="n"/>
      <c r="L241" s="113" t="n"/>
      <c r="M241" s="81" t="n"/>
      <c r="N241" s="81" t="n"/>
      <c r="O241" s="81" t="n"/>
      <c r="P241" s="81" t="n"/>
      <c r="Q241" s="113" t="n"/>
      <c r="R241" s="113" t="n"/>
      <c r="S241" s="113" t="n"/>
      <c r="T241" s="81" t="n"/>
      <c r="U241" s="81" t="n"/>
      <c r="V241" s="113" t="n"/>
      <c r="W241" s="81" t="n"/>
      <c r="X241" s="81" t="n"/>
      <c r="Y241" s="81" t="n"/>
      <c r="Z241" s="81" t="n"/>
      <c r="AA241" s="81" t="n"/>
      <c r="AB241" s="81" t="n"/>
      <c r="AC241" s="81" t="n"/>
      <c r="AD241" s="81" t="n"/>
      <c r="AE241" s="81" t="n"/>
      <c r="AF241" s="81" t="n"/>
      <c r="AG241" s="81" t="n"/>
      <c r="AH241" s="113" t="n"/>
      <c r="AI241" s="81" t="n"/>
      <c r="AJ241" s="81" t="n"/>
      <c r="AK241" s="113" t="n"/>
      <c r="AL241" s="81" t="n"/>
      <c r="AM241" s="81" t="n"/>
      <c r="AN241" s="81" t="n"/>
      <c r="AO241" s="113" t="n"/>
      <c r="AP241" s="113" t="n"/>
      <c r="AQ241" s="81" t="n"/>
      <c r="AR241" s="113" t="n"/>
      <c r="AS241" s="113" t="n"/>
      <c r="AT241" s="114" t="n"/>
      <c r="AU241" s="81" t="n"/>
      <c r="AV241" s="114" t="n"/>
      <c r="AW241" s="114" t="n"/>
      <c r="AX241" s="81" t="n"/>
      <c r="AY241" s="113" t="n"/>
      <c r="AZ241" s="115">
        <f>IF($B241="","",COUNTIF(References!$A$4:$A$503,$A241))</f>
        <v/>
      </c>
      <c r="BA241" s="115">
        <f>IF($B241="","",(LEN(A241)=0)+(LEN(B241)=0)+(LEN(D241)=0)+(LEN(G241)=0)+(LEN(H241)=0)+(LEN(I241)=0)+(LEN(J241)=0)+(LEN(L241)=0)+(LEN(M241)=0)+(LEN(O241)=0)+(LEN(R241)=0)+(LEN(X241)=0)+(LEN(AI241)=0)+(LEN(AJ241)=0)+(LEN(AQ241)=0)+(LEN(AR241)=0)+(LEN(AT241)=0)+(LEN(AU241)=0)+(LEN(AV241)=0)+(LEN(AX241)=0))</f>
        <v/>
      </c>
      <c r="BB241" s="115">
        <f>IF($B241="","",IF(AND(BA241=0,AZ241&gt;=1),"Complete","Incomplete"))</f>
        <v/>
      </c>
    </row>
    <row r="242" ht="15" customHeight="1" s="62">
      <c r="A242" s="81" t="n"/>
      <c r="B242" s="113" t="n"/>
      <c r="C242" s="81" t="n"/>
      <c r="D242" s="81" t="n"/>
      <c r="E242" s="81" t="n"/>
      <c r="F242" s="81" t="n"/>
      <c r="G242" s="81" t="n"/>
      <c r="H242" s="81" t="n"/>
      <c r="I242" s="81" t="n"/>
      <c r="J242" s="81" t="n"/>
      <c r="K242" s="81" t="n"/>
      <c r="L242" s="113" t="n"/>
      <c r="M242" s="81" t="n"/>
      <c r="N242" s="81" t="n"/>
      <c r="O242" s="81" t="n"/>
      <c r="P242" s="81" t="n"/>
      <c r="Q242" s="113" t="n"/>
      <c r="R242" s="113" t="n"/>
      <c r="S242" s="113" t="n"/>
      <c r="T242" s="81" t="n"/>
      <c r="U242" s="81" t="n"/>
      <c r="V242" s="113" t="n"/>
      <c r="W242" s="81" t="n"/>
      <c r="X242" s="81" t="n"/>
      <c r="Y242" s="81" t="n"/>
      <c r="Z242" s="81" t="n"/>
      <c r="AA242" s="81" t="n"/>
      <c r="AB242" s="81" t="n"/>
      <c r="AC242" s="81" t="n"/>
      <c r="AD242" s="81" t="n"/>
      <c r="AE242" s="81" t="n"/>
      <c r="AF242" s="81" t="n"/>
      <c r="AG242" s="81" t="n"/>
      <c r="AH242" s="113" t="n"/>
      <c r="AI242" s="81" t="n"/>
      <c r="AJ242" s="81" t="n"/>
      <c r="AK242" s="113" t="n"/>
      <c r="AL242" s="81" t="n"/>
      <c r="AM242" s="81" t="n"/>
      <c r="AN242" s="81" t="n"/>
      <c r="AO242" s="113" t="n"/>
      <c r="AP242" s="113" t="n"/>
      <c r="AQ242" s="81" t="n"/>
      <c r="AR242" s="113" t="n"/>
      <c r="AS242" s="113" t="n"/>
      <c r="AT242" s="114" t="n"/>
      <c r="AU242" s="81" t="n"/>
      <c r="AV242" s="114" t="n"/>
      <c r="AW242" s="114" t="n"/>
      <c r="AX242" s="81" t="n"/>
      <c r="AY242" s="113" t="n"/>
      <c r="AZ242" s="115">
        <f>IF($B242="","",COUNTIF(References!$A$4:$A$503,$A242))</f>
        <v/>
      </c>
      <c r="BA242" s="115">
        <f>IF($B242="","",(LEN(A242)=0)+(LEN(B242)=0)+(LEN(D242)=0)+(LEN(G242)=0)+(LEN(H242)=0)+(LEN(I242)=0)+(LEN(J242)=0)+(LEN(L242)=0)+(LEN(M242)=0)+(LEN(O242)=0)+(LEN(R242)=0)+(LEN(X242)=0)+(LEN(AI242)=0)+(LEN(AJ242)=0)+(LEN(AQ242)=0)+(LEN(AR242)=0)+(LEN(AT242)=0)+(LEN(AU242)=0)+(LEN(AV242)=0)+(LEN(AX242)=0))</f>
        <v/>
      </c>
      <c r="BB242" s="115">
        <f>IF($B242="","",IF(AND(BA242=0,AZ242&gt;=1),"Complete","Incomplete"))</f>
        <v/>
      </c>
    </row>
    <row r="243" ht="15" customHeight="1" s="62">
      <c r="A243" s="81" t="n"/>
      <c r="B243" s="113" t="n"/>
      <c r="C243" s="81" t="n"/>
      <c r="D243" s="81" t="n"/>
      <c r="E243" s="81" t="n"/>
      <c r="F243" s="81" t="n"/>
      <c r="G243" s="81" t="n"/>
      <c r="H243" s="81" t="n"/>
      <c r="I243" s="81" t="n"/>
      <c r="J243" s="81" t="n"/>
      <c r="K243" s="81" t="n"/>
      <c r="L243" s="113" t="n"/>
      <c r="M243" s="81" t="n"/>
      <c r="N243" s="81" t="n"/>
      <c r="O243" s="81" t="n"/>
      <c r="P243" s="81" t="n"/>
      <c r="Q243" s="113" t="n"/>
      <c r="R243" s="113" t="n"/>
      <c r="S243" s="113" t="n"/>
      <c r="T243" s="81" t="n"/>
      <c r="U243" s="81" t="n"/>
      <c r="V243" s="113" t="n"/>
      <c r="W243" s="81" t="n"/>
      <c r="X243" s="81" t="n"/>
      <c r="Y243" s="81" t="n"/>
      <c r="Z243" s="81" t="n"/>
      <c r="AA243" s="81" t="n"/>
      <c r="AB243" s="81" t="n"/>
      <c r="AC243" s="81" t="n"/>
      <c r="AD243" s="81" t="n"/>
      <c r="AE243" s="81" t="n"/>
      <c r="AF243" s="81" t="n"/>
      <c r="AG243" s="81" t="n"/>
      <c r="AH243" s="113" t="n"/>
      <c r="AI243" s="81" t="n"/>
      <c r="AJ243" s="81" t="n"/>
      <c r="AK243" s="113" t="n"/>
      <c r="AL243" s="81" t="n"/>
      <c r="AM243" s="81" t="n"/>
      <c r="AN243" s="81" t="n"/>
      <c r="AO243" s="113" t="n"/>
      <c r="AP243" s="113" t="n"/>
      <c r="AQ243" s="81" t="n"/>
      <c r="AR243" s="113" t="n"/>
      <c r="AS243" s="113" t="n"/>
      <c r="AT243" s="114" t="n"/>
      <c r="AU243" s="81" t="n"/>
      <c r="AV243" s="114" t="n"/>
      <c r="AW243" s="114" t="n"/>
      <c r="AX243" s="81" t="n"/>
      <c r="AY243" s="113" t="n"/>
      <c r="AZ243" s="115">
        <f>IF($B243="","",COUNTIF(References!$A$4:$A$503,$A243))</f>
        <v/>
      </c>
      <c r="BA243" s="115">
        <f>IF($B243="","",(LEN(A243)=0)+(LEN(B243)=0)+(LEN(D243)=0)+(LEN(G243)=0)+(LEN(H243)=0)+(LEN(I243)=0)+(LEN(J243)=0)+(LEN(L243)=0)+(LEN(M243)=0)+(LEN(O243)=0)+(LEN(R243)=0)+(LEN(X243)=0)+(LEN(AI243)=0)+(LEN(AJ243)=0)+(LEN(AQ243)=0)+(LEN(AR243)=0)+(LEN(AT243)=0)+(LEN(AU243)=0)+(LEN(AV243)=0)+(LEN(AX243)=0))</f>
        <v/>
      </c>
      <c r="BB243" s="115">
        <f>IF($B243="","",IF(AND(BA243=0,AZ243&gt;=1),"Complete","Incomplete"))</f>
        <v/>
      </c>
    </row>
    <row r="244" ht="15" customHeight="1" s="62">
      <c r="A244" s="81" t="n"/>
      <c r="B244" s="113" t="n"/>
      <c r="C244" s="81" t="n"/>
      <c r="D244" s="81" t="n"/>
      <c r="E244" s="81" t="n"/>
      <c r="F244" s="81" t="n"/>
      <c r="G244" s="81" t="n"/>
      <c r="H244" s="81" t="n"/>
      <c r="I244" s="81" t="n"/>
      <c r="J244" s="81" t="n"/>
      <c r="K244" s="81" t="n"/>
      <c r="L244" s="113" t="n"/>
      <c r="M244" s="81" t="n"/>
      <c r="N244" s="81" t="n"/>
      <c r="O244" s="81" t="n"/>
      <c r="P244" s="81" t="n"/>
      <c r="Q244" s="113" t="n"/>
      <c r="R244" s="113" t="n"/>
      <c r="S244" s="113" t="n"/>
      <c r="T244" s="81" t="n"/>
      <c r="U244" s="81" t="n"/>
      <c r="V244" s="113" t="n"/>
      <c r="W244" s="81" t="n"/>
      <c r="X244" s="81" t="n"/>
      <c r="Y244" s="81" t="n"/>
      <c r="Z244" s="81" t="n"/>
      <c r="AA244" s="81" t="n"/>
      <c r="AB244" s="81" t="n"/>
      <c r="AC244" s="81" t="n"/>
      <c r="AD244" s="81" t="n"/>
      <c r="AE244" s="81" t="n"/>
      <c r="AF244" s="81" t="n"/>
      <c r="AG244" s="81" t="n"/>
      <c r="AH244" s="113" t="n"/>
      <c r="AI244" s="81" t="n"/>
      <c r="AJ244" s="81" t="n"/>
      <c r="AK244" s="113" t="n"/>
      <c r="AL244" s="81" t="n"/>
      <c r="AM244" s="81" t="n"/>
      <c r="AN244" s="81" t="n"/>
      <c r="AO244" s="113" t="n"/>
      <c r="AP244" s="113" t="n"/>
      <c r="AQ244" s="81" t="n"/>
      <c r="AR244" s="113" t="n"/>
      <c r="AS244" s="113" t="n"/>
      <c r="AT244" s="114" t="n"/>
      <c r="AU244" s="81" t="n"/>
      <c r="AV244" s="114" t="n"/>
      <c r="AW244" s="114" t="n"/>
      <c r="AX244" s="81" t="n"/>
      <c r="AY244" s="113" t="n"/>
      <c r="AZ244" s="115">
        <f>IF($B244="","",COUNTIF(References!$A$4:$A$503,$A244))</f>
        <v/>
      </c>
      <c r="BA244" s="115">
        <f>IF($B244="","",(LEN(A244)=0)+(LEN(B244)=0)+(LEN(D244)=0)+(LEN(G244)=0)+(LEN(H244)=0)+(LEN(I244)=0)+(LEN(J244)=0)+(LEN(L244)=0)+(LEN(M244)=0)+(LEN(O244)=0)+(LEN(R244)=0)+(LEN(X244)=0)+(LEN(AI244)=0)+(LEN(AJ244)=0)+(LEN(AQ244)=0)+(LEN(AR244)=0)+(LEN(AT244)=0)+(LEN(AU244)=0)+(LEN(AV244)=0)+(LEN(AX244)=0))</f>
        <v/>
      </c>
      <c r="BB244" s="115">
        <f>IF($B244="","",IF(AND(BA244=0,AZ244&gt;=1),"Complete","Incomplete"))</f>
        <v/>
      </c>
    </row>
    <row r="245" ht="15" customHeight="1" s="62">
      <c r="A245" s="81" t="n"/>
      <c r="B245" s="113" t="n"/>
      <c r="C245" s="81" t="n"/>
      <c r="D245" s="81" t="n"/>
      <c r="E245" s="81" t="n"/>
      <c r="F245" s="81" t="n"/>
      <c r="G245" s="81" t="n"/>
      <c r="H245" s="81" t="n"/>
      <c r="I245" s="81" t="n"/>
      <c r="J245" s="81" t="n"/>
      <c r="K245" s="81" t="n"/>
      <c r="L245" s="113" t="n"/>
      <c r="M245" s="81" t="n"/>
      <c r="N245" s="81" t="n"/>
      <c r="O245" s="81" t="n"/>
      <c r="P245" s="81" t="n"/>
      <c r="Q245" s="113" t="n"/>
      <c r="R245" s="113" t="n"/>
      <c r="S245" s="113" t="n"/>
      <c r="T245" s="81" t="n"/>
      <c r="U245" s="81" t="n"/>
      <c r="V245" s="113" t="n"/>
      <c r="W245" s="81" t="n"/>
      <c r="X245" s="81" t="n"/>
      <c r="Y245" s="81" t="n"/>
      <c r="Z245" s="81" t="n"/>
      <c r="AA245" s="81" t="n"/>
      <c r="AB245" s="81" t="n"/>
      <c r="AC245" s="81" t="n"/>
      <c r="AD245" s="81" t="n"/>
      <c r="AE245" s="81" t="n"/>
      <c r="AF245" s="81" t="n"/>
      <c r="AG245" s="81" t="n"/>
      <c r="AH245" s="113" t="n"/>
      <c r="AI245" s="81" t="n"/>
      <c r="AJ245" s="81" t="n"/>
      <c r="AK245" s="113" t="n"/>
      <c r="AL245" s="81" t="n"/>
      <c r="AM245" s="81" t="n"/>
      <c r="AN245" s="81" t="n"/>
      <c r="AO245" s="113" t="n"/>
      <c r="AP245" s="113" t="n"/>
      <c r="AQ245" s="81" t="n"/>
      <c r="AR245" s="113" t="n"/>
      <c r="AS245" s="113" t="n"/>
      <c r="AT245" s="114" t="n"/>
      <c r="AU245" s="81" t="n"/>
      <c r="AV245" s="114" t="n"/>
      <c r="AW245" s="114" t="n"/>
      <c r="AX245" s="81" t="n"/>
      <c r="AY245" s="113" t="n"/>
      <c r="AZ245" s="115">
        <f>IF($B245="","",COUNTIF(References!$A$4:$A$503,$A245))</f>
        <v/>
      </c>
      <c r="BA245" s="115">
        <f>IF($B245="","",(LEN(A245)=0)+(LEN(B245)=0)+(LEN(D245)=0)+(LEN(G245)=0)+(LEN(H245)=0)+(LEN(I245)=0)+(LEN(J245)=0)+(LEN(L245)=0)+(LEN(M245)=0)+(LEN(O245)=0)+(LEN(R245)=0)+(LEN(X245)=0)+(LEN(AI245)=0)+(LEN(AJ245)=0)+(LEN(AQ245)=0)+(LEN(AR245)=0)+(LEN(AT245)=0)+(LEN(AU245)=0)+(LEN(AV245)=0)+(LEN(AX245)=0))</f>
        <v/>
      </c>
      <c r="BB245" s="115">
        <f>IF($B245="","",IF(AND(BA245=0,AZ245&gt;=1),"Complete","Incomplete"))</f>
        <v/>
      </c>
    </row>
    <row r="246" ht="15" customHeight="1" s="62">
      <c r="A246" s="81" t="n"/>
      <c r="B246" s="113" t="n"/>
      <c r="C246" s="81" t="n"/>
      <c r="D246" s="81" t="n"/>
      <c r="E246" s="81" t="n"/>
      <c r="F246" s="81" t="n"/>
      <c r="G246" s="81" t="n"/>
      <c r="H246" s="81" t="n"/>
      <c r="I246" s="81" t="n"/>
      <c r="J246" s="81" t="n"/>
      <c r="K246" s="81" t="n"/>
      <c r="L246" s="113" t="n"/>
      <c r="M246" s="81" t="n"/>
      <c r="N246" s="81" t="n"/>
      <c r="O246" s="81" t="n"/>
      <c r="P246" s="81" t="n"/>
      <c r="Q246" s="113" t="n"/>
      <c r="R246" s="113" t="n"/>
      <c r="S246" s="113" t="n"/>
      <c r="T246" s="81" t="n"/>
      <c r="U246" s="81" t="n"/>
      <c r="V246" s="113" t="n"/>
      <c r="W246" s="81" t="n"/>
      <c r="X246" s="81" t="n"/>
      <c r="Y246" s="81" t="n"/>
      <c r="Z246" s="81" t="n"/>
      <c r="AA246" s="81" t="n"/>
      <c r="AB246" s="81" t="n"/>
      <c r="AC246" s="81" t="n"/>
      <c r="AD246" s="81" t="n"/>
      <c r="AE246" s="81" t="n"/>
      <c r="AF246" s="81" t="n"/>
      <c r="AG246" s="81" t="n"/>
      <c r="AH246" s="113" t="n"/>
      <c r="AI246" s="81" t="n"/>
      <c r="AJ246" s="81" t="n"/>
      <c r="AK246" s="113" t="n"/>
      <c r="AL246" s="81" t="n"/>
      <c r="AM246" s="81" t="n"/>
      <c r="AN246" s="81" t="n"/>
      <c r="AO246" s="113" t="n"/>
      <c r="AP246" s="113" t="n"/>
      <c r="AQ246" s="81" t="n"/>
      <c r="AR246" s="113" t="n"/>
      <c r="AS246" s="113" t="n"/>
      <c r="AT246" s="114" t="n"/>
      <c r="AU246" s="81" t="n"/>
      <c r="AV246" s="114" t="n"/>
      <c r="AW246" s="114" t="n"/>
      <c r="AX246" s="81" t="n"/>
      <c r="AY246" s="113" t="n"/>
      <c r="AZ246" s="115">
        <f>IF($B246="","",COUNTIF(References!$A$4:$A$503,$A246))</f>
        <v/>
      </c>
      <c r="BA246" s="115">
        <f>IF($B246="","",(LEN(A246)=0)+(LEN(B246)=0)+(LEN(D246)=0)+(LEN(G246)=0)+(LEN(H246)=0)+(LEN(I246)=0)+(LEN(J246)=0)+(LEN(L246)=0)+(LEN(M246)=0)+(LEN(O246)=0)+(LEN(R246)=0)+(LEN(X246)=0)+(LEN(AI246)=0)+(LEN(AJ246)=0)+(LEN(AQ246)=0)+(LEN(AR246)=0)+(LEN(AT246)=0)+(LEN(AU246)=0)+(LEN(AV246)=0)+(LEN(AX246)=0))</f>
        <v/>
      </c>
      <c r="BB246" s="115">
        <f>IF($B246="","",IF(AND(BA246=0,AZ246&gt;=1),"Complete","Incomplete"))</f>
        <v/>
      </c>
    </row>
    <row r="247" ht="15" customHeight="1" s="62">
      <c r="A247" s="81" t="n"/>
      <c r="B247" s="113" t="n"/>
      <c r="C247" s="81" t="n"/>
      <c r="D247" s="81" t="n"/>
      <c r="E247" s="81" t="n"/>
      <c r="F247" s="81" t="n"/>
      <c r="G247" s="81" t="n"/>
      <c r="H247" s="81" t="n"/>
      <c r="I247" s="81" t="n"/>
      <c r="J247" s="81" t="n"/>
      <c r="K247" s="81" t="n"/>
      <c r="L247" s="113" t="n"/>
      <c r="M247" s="81" t="n"/>
      <c r="N247" s="81" t="n"/>
      <c r="O247" s="81" t="n"/>
      <c r="P247" s="81" t="n"/>
      <c r="Q247" s="113" t="n"/>
      <c r="R247" s="113" t="n"/>
      <c r="S247" s="113" t="n"/>
      <c r="T247" s="81" t="n"/>
      <c r="U247" s="81" t="n"/>
      <c r="V247" s="113" t="n"/>
      <c r="W247" s="81" t="n"/>
      <c r="X247" s="81" t="n"/>
      <c r="Y247" s="81" t="n"/>
      <c r="Z247" s="81" t="n"/>
      <c r="AA247" s="81" t="n"/>
      <c r="AB247" s="81" t="n"/>
      <c r="AC247" s="81" t="n"/>
      <c r="AD247" s="81" t="n"/>
      <c r="AE247" s="81" t="n"/>
      <c r="AF247" s="81" t="n"/>
      <c r="AG247" s="81" t="n"/>
      <c r="AH247" s="113" t="n"/>
      <c r="AI247" s="81" t="n"/>
      <c r="AJ247" s="81" t="n"/>
      <c r="AK247" s="113" t="n"/>
      <c r="AL247" s="81" t="n"/>
      <c r="AM247" s="81" t="n"/>
      <c r="AN247" s="81" t="n"/>
      <c r="AO247" s="113" t="n"/>
      <c r="AP247" s="113" t="n"/>
      <c r="AQ247" s="81" t="n"/>
      <c r="AR247" s="113" t="n"/>
      <c r="AS247" s="113" t="n"/>
      <c r="AT247" s="114" t="n"/>
      <c r="AU247" s="81" t="n"/>
      <c r="AV247" s="114" t="n"/>
      <c r="AW247" s="114" t="n"/>
      <c r="AX247" s="81" t="n"/>
      <c r="AY247" s="113" t="n"/>
      <c r="AZ247" s="115">
        <f>IF($B247="","",COUNTIF(References!$A$4:$A$503,$A247))</f>
        <v/>
      </c>
      <c r="BA247" s="115">
        <f>IF($B247="","",(LEN(A247)=0)+(LEN(B247)=0)+(LEN(D247)=0)+(LEN(G247)=0)+(LEN(H247)=0)+(LEN(I247)=0)+(LEN(J247)=0)+(LEN(L247)=0)+(LEN(M247)=0)+(LEN(O247)=0)+(LEN(R247)=0)+(LEN(X247)=0)+(LEN(AI247)=0)+(LEN(AJ247)=0)+(LEN(AQ247)=0)+(LEN(AR247)=0)+(LEN(AT247)=0)+(LEN(AU247)=0)+(LEN(AV247)=0)+(LEN(AX247)=0))</f>
        <v/>
      </c>
      <c r="BB247" s="115">
        <f>IF($B247="","",IF(AND(BA247=0,AZ247&gt;=1),"Complete","Incomplete"))</f>
        <v/>
      </c>
    </row>
    <row r="248" ht="15" customHeight="1" s="62">
      <c r="A248" s="81" t="n"/>
      <c r="B248" s="113" t="n"/>
      <c r="C248" s="81" t="n"/>
      <c r="D248" s="81" t="n"/>
      <c r="E248" s="81" t="n"/>
      <c r="F248" s="81" t="n"/>
      <c r="G248" s="81" t="n"/>
      <c r="H248" s="81" t="n"/>
      <c r="I248" s="81" t="n"/>
      <c r="J248" s="81" t="n"/>
      <c r="K248" s="81" t="n"/>
      <c r="L248" s="113" t="n"/>
      <c r="M248" s="81" t="n"/>
      <c r="N248" s="81" t="n"/>
      <c r="O248" s="81" t="n"/>
      <c r="P248" s="81" t="n"/>
      <c r="Q248" s="113" t="n"/>
      <c r="R248" s="113" t="n"/>
      <c r="S248" s="113" t="n"/>
      <c r="T248" s="81" t="n"/>
      <c r="U248" s="81" t="n"/>
      <c r="V248" s="113" t="n"/>
      <c r="W248" s="81" t="n"/>
      <c r="X248" s="81" t="n"/>
      <c r="Y248" s="81" t="n"/>
      <c r="Z248" s="81" t="n"/>
      <c r="AA248" s="81" t="n"/>
      <c r="AB248" s="81" t="n"/>
      <c r="AC248" s="81" t="n"/>
      <c r="AD248" s="81" t="n"/>
      <c r="AE248" s="81" t="n"/>
      <c r="AF248" s="81" t="n"/>
      <c r="AG248" s="81" t="n"/>
      <c r="AH248" s="113" t="n"/>
      <c r="AI248" s="81" t="n"/>
      <c r="AJ248" s="81" t="n"/>
      <c r="AK248" s="113" t="n"/>
      <c r="AL248" s="81" t="n"/>
      <c r="AM248" s="81" t="n"/>
      <c r="AN248" s="81" t="n"/>
      <c r="AO248" s="113" t="n"/>
      <c r="AP248" s="113" t="n"/>
      <c r="AQ248" s="81" t="n"/>
      <c r="AR248" s="113" t="n"/>
      <c r="AS248" s="113" t="n"/>
      <c r="AT248" s="114" t="n"/>
      <c r="AU248" s="81" t="n"/>
      <c r="AV248" s="114" t="n"/>
      <c r="AW248" s="114" t="n"/>
      <c r="AX248" s="81" t="n"/>
      <c r="AY248" s="113" t="n"/>
      <c r="AZ248" s="115">
        <f>IF($B248="","",COUNTIF(References!$A$4:$A$503,$A248))</f>
        <v/>
      </c>
      <c r="BA248" s="115">
        <f>IF($B248="","",(LEN(A248)=0)+(LEN(B248)=0)+(LEN(D248)=0)+(LEN(G248)=0)+(LEN(H248)=0)+(LEN(I248)=0)+(LEN(J248)=0)+(LEN(L248)=0)+(LEN(M248)=0)+(LEN(O248)=0)+(LEN(R248)=0)+(LEN(X248)=0)+(LEN(AI248)=0)+(LEN(AJ248)=0)+(LEN(AQ248)=0)+(LEN(AR248)=0)+(LEN(AT248)=0)+(LEN(AU248)=0)+(LEN(AV248)=0)+(LEN(AX248)=0))</f>
        <v/>
      </c>
      <c r="BB248" s="115">
        <f>IF($B248="","",IF(AND(BA248=0,AZ248&gt;=1),"Complete","Incomplete"))</f>
        <v/>
      </c>
    </row>
    <row r="249" ht="15" customHeight="1" s="62">
      <c r="A249" s="81" t="n"/>
      <c r="B249" s="113" t="n"/>
      <c r="C249" s="81" t="n"/>
      <c r="D249" s="81" t="n"/>
      <c r="E249" s="81" t="n"/>
      <c r="F249" s="81" t="n"/>
      <c r="G249" s="81" t="n"/>
      <c r="H249" s="81" t="n"/>
      <c r="I249" s="81" t="n"/>
      <c r="J249" s="81" t="n"/>
      <c r="K249" s="81" t="n"/>
      <c r="L249" s="113" t="n"/>
      <c r="M249" s="81" t="n"/>
      <c r="N249" s="81" t="n"/>
      <c r="O249" s="81" t="n"/>
      <c r="P249" s="81" t="n"/>
      <c r="Q249" s="113" t="n"/>
      <c r="R249" s="113" t="n"/>
      <c r="S249" s="113" t="n"/>
      <c r="T249" s="81" t="n"/>
      <c r="U249" s="81" t="n"/>
      <c r="V249" s="113" t="n"/>
      <c r="W249" s="81" t="n"/>
      <c r="X249" s="81" t="n"/>
      <c r="Y249" s="81" t="n"/>
      <c r="Z249" s="81" t="n"/>
      <c r="AA249" s="81" t="n"/>
      <c r="AB249" s="81" t="n"/>
      <c r="AC249" s="81" t="n"/>
      <c r="AD249" s="81" t="n"/>
      <c r="AE249" s="81" t="n"/>
      <c r="AF249" s="81" t="n"/>
      <c r="AG249" s="81" t="n"/>
      <c r="AH249" s="113" t="n"/>
      <c r="AI249" s="81" t="n"/>
      <c r="AJ249" s="81" t="n"/>
      <c r="AK249" s="113" t="n"/>
      <c r="AL249" s="81" t="n"/>
      <c r="AM249" s="81" t="n"/>
      <c r="AN249" s="81" t="n"/>
      <c r="AO249" s="113" t="n"/>
      <c r="AP249" s="113" t="n"/>
      <c r="AQ249" s="81" t="n"/>
      <c r="AR249" s="113" t="n"/>
      <c r="AS249" s="113" t="n"/>
      <c r="AT249" s="114" t="n"/>
      <c r="AU249" s="81" t="n"/>
      <c r="AV249" s="114" t="n"/>
      <c r="AW249" s="114" t="n"/>
      <c r="AX249" s="81" t="n"/>
      <c r="AY249" s="113" t="n"/>
      <c r="AZ249" s="115">
        <f>IF($B249="","",COUNTIF(References!$A$4:$A$503,$A249))</f>
        <v/>
      </c>
      <c r="BA249" s="115">
        <f>IF($B249="","",(LEN(A249)=0)+(LEN(B249)=0)+(LEN(D249)=0)+(LEN(G249)=0)+(LEN(H249)=0)+(LEN(I249)=0)+(LEN(J249)=0)+(LEN(L249)=0)+(LEN(M249)=0)+(LEN(O249)=0)+(LEN(R249)=0)+(LEN(X249)=0)+(LEN(AI249)=0)+(LEN(AJ249)=0)+(LEN(AQ249)=0)+(LEN(AR249)=0)+(LEN(AT249)=0)+(LEN(AU249)=0)+(LEN(AV249)=0)+(LEN(AX249)=0))</f>
        <v/>
      </c>
      <c r="BB249" s="115">
        <f>IF($B249="","",IF(AND(BA249=0,AZ249&gt;=1),"Complete","Incomplete"))</f>
        <v/>
      </c>
    </row>
    <row r="250" ht="15" customHeight="1" s="62">
      <c r="A250" s="81" t="n"/>
      <c r="B250" s="113" t="n"/>
      <c r="C250" s="81" t="n"/>
      <c r="D250" s="81" t="n"/>
      <c r="E250" s="81" t="n"/>
      <c r="F250" s="81" t="n"/>
      <c r="G250" s="81" t="n"/>
      <c r="H250" s="81" t="n"/>
      <c r="I250" s="81" t="n"/>
      <c r="J250" s="81" t="n"/>
      <c r="K250" s="81" t="n"/>
      <c r="L250" s="113" t="n"/>
      <c r="M250" s="81" t="n"/>
      <c r="N250" s="81" t="n"/>
      <c r="O250" s="81" t="n"/>
      <c r="P250" s="81" t="n"/>
      <c r="Q250" s="113" t="n"/>
      <c r="R250" s="113" t="n"/>
      <c r="S250" s="113" t="n"/>
      <c r="T250" s="81" t="n"/>
      <c r="U250" s="81" t="n"/>
      <c r="V250" s="113" t="n"/>
      <c r="W250" s="81" t="n"/>
      <c r="X250" s="81" t="n"/>
      <c r="Y250" s="81" t="n"/>
      <c r="Z250" s="81" t="n"/>
      <c r="AA250" s="81" t="n"/>
      <c r="AB250" s="81" t="n"/>
      <c r="AC250" s="81" t="n"/>
      <c r="AD250" s="81" t="n"/>
      <c r="AE250" s="81" t="n"/>
      <c r="AF250" s="81" t="n"/>
      <c r="AG250" s="81" t="n"/>
      <c r="AH250" s="113" t="n"/>
      <c r="AI250" s="81" t="n"/>
      <c r="AJ250" s="81" t="n"/>
      <c r="AK250" s="113" t="n"/>
      <c r="AL250" s="81" t="n"/>
      <c r="AM250" s="81" t="n"/>
      <c r="AN250" s="81" t="n"/>
      <c r="AO250" s="113" t="n"/>
      <c r="AP250" s="113" t="n"/>
      <c r="AQ250" s="81" t="n"/>
      <c r="AR250" s="113" t="n"/>
      <c r="AS250" s="113" t="n"/>
      <c r="AT250" s="114" t="n"/>
      <c r="AU250" s="81" t="n"/>
      <c r="AV250" s="114" t="n"/>
      <c r="AW250" s="114" t="n"/>
      <c r="AX250" s="81" t="n"/>
      <c r="AY250" s="113" t="n"/>
      <c r="AZ250" s="115">
        <f>IF($B250="","",COUNTIF(References!$A$4:$A$503,$A250))</f>
        <v/>
      </c>
      <c r="BA250" s="115">
        <f>IF($B250="","",(LEN(A250)=0)+(LEN(B250)=0)+(LEN(D250)=0)+(LEN(G250)=0)+(LEN(H250)=0)+(LEN(I250)=0)+(LEN(J250)=0)+(LEN(L250)=0)+(LEN(M250)=0)+(LEN(O250)=0)+(LEN(R250)=0)+(LEN(X250)=0)+(LEN(AI250)=0)+(LEN(AJ250)=0)+(LEN(AQ250)=0)+(LEN(AR250)=0)+(LEN(AT250)=0)+(LEN(AU250)=0)+(LEN(AV250)=0)+(LEN(AX250)=0))</f>
        <v/>
      </c>
      <c r="BB250" s="115">
        <f>IF($B250="","",IF(AND(BA250=0,AZ250&gt;=1),"Complete","Incomplete"))</f>
        <v/>
      </c>
    </row>
    <row r="251" ht="15" customHeight="1" s="62">
      <c r="A251" s="81" t="n"/>
      <c r="B251" s="113" t="n"/>
      <c r="C251" s="81" t="n"/>
      <c r="D251" s="81" t="n"/>
      <c r="E251" s="81" t="n"/>
      <c r="F251" s="81" t="n"/>
      <c r="G251" s="81" t="n"/>
      <c r="H251" s="81" t="n"/>
      <c r="I251" s="81" t="n"/>
      <c r="J251" s="81" t="n"/>
      <c r="K251" s="81" t="n"/>
      <c r="L251" s="113" t="n"/>
      <c r="M251" s="81" t="n"/>
      <c r="N251" s="81" t="n"/>
      <c r="O251" s="81" t="n"/>
      <c r="P251" s="81" t="n"/>
      <c r="Q251" s="113" t="n"/>
      <c r="R251" s="113" t="n"/>
      <c r="S251" s="113" t="n"/>
      <c r="T251" s="81" t="n"/>
      <c r="U251" s="81" t="n"/>
      <c r="V251" s="113" t="n"/>
      <c r="W251" s="81" t="n"/>
      <c r="X251" s="81" t="n"/>
      <c r="Y251" s="81" t="n"/>
      <c r="Z251" s="81" t="n"/>
      <c r="AA251" s="81" t="n"/>
      <c r="AB251" s="81" t="n"/>
      <c r="AC251" s="81" t="n"/>
      <c r="AD251" s="81" t="n"/>
      <c r="AE251" s="81" t="n"/>
      <c r="AF251" s="81" t="n"/>
      <c r="AG251" s="81" t="n"/>
      <c r="AH251" s="113" t="n"/>
      <c r="AI251" s="81" t="n"/>
      <c r="AJ251" s="81" t="n"/>
      <c r="AK251" s="113" t="n"/>
      <c r="AL251" s="81" t="n"/>
      <c r="AM251" s="81" t="n"/>
      <c r="AN251" s="81" t="n"/>
      <c r="AO251" s="113" t="n"/>
      <c r="AP251" s="113" t="n"/>
      <c r="AQ251" s="81" t="n"/>
      <c r="AR251" s="113" t="n"/>
      <c r="AS251" s="113" t="n"/>
      <c r="AT251" s="114" t="n"/>
      <c r="AU251" s="81" t="n"/>
      <c r="AV251" s="114" t="n"/>
      <c r="AW251" s="114" t="n"/>
      <c r="AX251" s="81" t="n"/>
      <c r="AY251" s="113" t="n"/>
      <c r="AZ251" s="115">
        <f>IF($B251="","",COUNTIF(References!$A$4:$A$503,$A251))</f>
        <v/>
      </c>
      <c r="BA251" s="115">
        <f>IF($B251="","",(LEN(A251)=0)+(LEN(B251)=0)+(LEN(D251)=0)+(LEN(G251)=0)+(LEN(H251)=0)+(LEN(I251)=0)+(LEN(J251)=0)+(LEN(L251)=0)+(LEN(M251)=0)+(LEN(O251)=0)+(LEN(R251)=0)+(LEN(X251)=0)+(LEN(AI251)=0)+(LEN(AJ251)=0)+(LEN(AQ251)=0)+(LEN(AR251)=0)+(LEN(AT251)=0)+(LEN(AU251)=0)+(LEN(AV251)=0)+(LEN(AX251)=0))</f>
        <v/>
      </c>
      <c r="BB251" s="115">
        <f>IF($B251="","",IF(AND(BA251=0,AZ251&gt;=1),"Complete","Incomplete"))</f>
        <v/>
      </c>
    </row>
    <row r="252" ht="15" customHeight="1" s="62">
      <c r="A252" s="81" t="n"/>
      <c r="B252" s="113" t="n"/>
      <c r="C252" s="81" t="n"/>
      <c r="D252" s="81" t="n"/>
      <c r="E252" s="81" t="n"/>
      <c r="F252" s="81" t="n"/>
      <c r="G252" s="81" t="n"/>
      <c r="H252" s="81" t="n"/>
      <c r="I252" s="81" t="n"/>
      <c r="J252" s="81" t="n"/>
      <c r="K252" s="81" t="n"/>
      <c r="L252" s="113" t="n"/>
      <c r="M252" s="81" t="n"/>
      <c r="N252" s="81" t="n"/>
      <c r="O252" s="81" t="n"/>
      <c r="P252" s="81" t="n"/>
      <c r="Q252" s="113" t="n"/>
      <c r="R252" s="113" t="n"/>
      <c r="S252" s="113" t="n"/>
      <c r="T252" s="81" t="n"/>
      <c r="U252" s="81" t="n"/>
      <c r="V252" s="113" t="n"/>
      <c r="W252" s="81" t="n"/>
      <c r="X252" s="81" t="n"/>
      <c r="Y252" s="81" t="n"/>
      <c r="Z252" s="81" t="n"/>
      <c r="AA252" s="81" t="n"/>
      <c r="AB252" s="81" t="n"/>
      <c r="AC252" s="81" t="n"/>
      <c r="AD252" s="81" t="n"/>
      <c r="AE252" s="81" t="n"/>
      <c r="AF252" s="81" t="n"/>
      <c r="AG252" s="81" t="n"/>
      <c r="AH252" s="113" t="n"/>
      <c r="AI252" s="81" t="n"/>
      <c r="AJ252" s="81" t="n"/>
      <c r="AK252" s="113" t="n"/>
      <c r="AL252" s="81" t="n"/>
      <c r="AM252" s="81" t="n"/>
      <c r="AN252" s="81" t="n"/>
      <c r="AO252" s="113" t="n"/>
      <c r="AP252" s="113" t="n"/>
      <c r="AQ252" s="81" t="n"/>
      <c r="AR252" s="113" t="n"/>
      <c r="AS252" s="113" t="n"/>
      <c r="AT252" s="114" t="n"/>
      <c r="AU252" s="81" t="n"/>
      <c r="AV252" s="114" t="n"/>
      <c r="AW252" s="114" t="n"/>
      <c r="AX252" s="81" t="n"/>
      <c r="AY252" s="113" t="n"/>
      <c r="AZ252" s="115">
        <f>IF($B252="","",COUNTIF(References!$A$4:$A$503,$A252))</f>
        <v/>
      </c>
      <c r="BA252" s="115">
        <f>IF($B252="","",(LEN(A252)=0)+(LEN(B252)=0)+(LEN(D252)=0)+(LEN(G252)=0)+(LEN(H252)=0)+(LEN(I252)=0)+(LEN(J252)=0)+(LEN(L252)=0)+(LEN(M252)=0)+(LEN(O252)=0)+(LEN(R252)=0)+(LEN(X252)=0)+(LEN(AI252)=0)+(LEN(AJ252)=0)+(LEN(AQ252)=0)+(LEN(AR252)=0)+(LEN(AT252)=0)+(LEN(AU252)=0)+(LEN(AV252)=0)+(LEN(AX252)=0))</f>
        <v/>
      </c>
      <c r="BB252" s="115">
        <f>IF($B252="","",IF(AND(BA252=0,AZ252&gt;=1),"Complete","Incomplete"))</f>
        <v/>
      </c>
    </row>
    <row r="253" ht="15" customHeight="1" s="62">
      <c r="A253" s="81" t="n"/>
      <c r="B253" s="113" t="n"/>
      <c r="C253" s="81" t="n"/>
      <c r="D253" s="81" t="n"/>
      <c r="E253" s="81" t="n"/>
      <c r="F253" s="81" t="n"/>
      <c r="G253" s="81" t="n"/>
      <c r="H253" s="81" t="n"/>
      <c r="I253" s="81" t="n"/>
      <c r="J253" s="81" t="n"/>
      <c r="K253" s="81" t="n"/>
      <c r="L253" s="113" t="n"/>
      <c r="M253" s="81" t="n"/>
      <c r="N253" s="81" t="n"/>
      <c r="O253" s="81" t="n"/>
      <c r="P253" s="81" t="n"/>
      <c r="Q253" s="113" t="n"/>
      <c r="R253" s="113" t="n"/>
      <c r="S253" s="113" t="n"/>
      <c r="T253" s="81" t="n"/>
      <c r="U253" s="81" t="n"/>
      <c r="V253" s="113" t="n"/>
      <c r="W253" s="81" t="n"/>
      <c r="X253" s="81" t="n"/>
      <c r="Y253" s="81" t="n"/>
      <c r="Z253" s="81" t="n"/>
      <c r="AA253" s="81" t="n"/>
      <c r="AB253" s="81" t="n"/>
      <c r="AC253" s="81" t="n"/>
      <c r="AD253" s="81" t="n"/>
      <c r="AE253" s="81" t="n"/>
      <c r="AF253" s="81" t="n"/>
      <c r="AG253" s="81" t="n"/>
      <c r="AH253" s="113" t="n"/>
      <c r="AI253" s="81" t="n"/>
      <c r="AJ253" s="81" t="n"/>
      <c r="AK253" s="113" t="n"/>
      <c r="AL253" s="81" t="n"/>
      <c r="AM253" s="81" t="n"/>
      <c r="AN253" s="81" t="n"/>
      <c r="AO253" s="113" t="n"/>
      <c r="AP253" s="113" t="n"/>
      <c r="AQ253" s="81" t="n"/>
      <c r="AR253" s="113" t="n"/>
      <c r="AS253" s="113" t="n"/>
      <c r="AT253" s="114" t="n"/>
      <c r="AU253" s="81" t="n"/>
      <c r="AV253" s="114" t="n"/>
      <c r="AW253" s="114" t="n"/>
      <c r="AX253" s="81" t="n"/>
      <c r="AY253" s="113" t="n"/>
      <c r="AZ253" s="115">
        <f>IF($B253="","",COUNTIF(References!$A$4:$A$503,$A253))</f>
        <v/>
      </c>
      <c r="BA253" s="115">
        <f>IF($B253="","",(LEN(A253)=0)+(LEN(B253)=0)+(LEN(D253)=0)+(LEN(G253)=0)+(LEN(H253)=0)+(LEN(I253)=0)+(LEN(J253)=0)+(LEN(L253)=0)+(LEN(M253)=0)+(LEN(O253)=0)+(LEN(R253)=0)+(LEN(X253)=0)+(LEN(AI253)=0)+(LEN(AJ253)=0)+(LEN(AQ253)=0)+(LEN(AR253)=0)+(LEN(AT253)=0)+(LEN(AU253)=0)+(LEN(AV253)=0)+(LEN(AX253)=0))</f>
        <v/>
      </c>
      <c r="BB253" s="115">
        <f>IF($B253="","",IF(AND(BA253=0,AZ253&gt;=1),"Complete","Incomplete"))</f>
        <v/>
      </c>
    </row>
    <row r="254" ht="15" customHeight="1" s="62">
      <c r="A254" s="81" t="n"/>
      <c r="B254" s="113" t="n"/>
      <c r="C254" s="81" t="n"/>
      <c r="D254" s="81" t="n"/>
      <c r="E254" s="81" t="n"/>
      <c r="F254" s="81" t="n"/>
      <c r="G254" s="81" t="n"/>
      <c r="H254" s="81" t="n"/>
      <c r="I254" s="81" t="n"/>
      <c r="J254" s="81" t="n"/>
      <c r="K254" s="81" t="n"/>
      <c r="L254" s="113" t="n"/>
      <c r="M254" s="81" t="n"/>
      <c r="N254" s="81" t="n"/>
      <c r="O254" s="81" t="n"/>
      <c r="P254" s="81" t="n"/>
      <c r="Q254" s="113" t="n"/>
      <c r="R254" s="113" t="n"/>
      <c r="S254" s="113" t="n"/>
      <c r="T254" s="81" t="n"/>
      <c r="U254" s="81" t="n"/>
      <c r="V254" s="113" t="n"/>
      <c r="W254" s="81" t="n"/>
      <c r="X254" s="81" t="n"/>
      <c r="Y254" s="81" t="n"/>
      <c r="Z254" s="81" t="n"/>
      <c r="AA254" s="81" t="n"/>
      <c r="AB254" s="81" t="n"/>
      <c r="AC254" s="81" t="n"/>
      <c r="AD254" s="81" t="n"/>
      <c r="AE254" s="81" t="n"/>
      <c r="AF254" s="81" t="n"/>
      <c r="AG254" s="81" t="n"/>
      <c r="AH254" s="113" t="n"/>
      <c r="AI254" s="81" t="n"/>
      <c r="AJ254" s="81" t="n"/>
      <c r="AK254" s="113" t="n"/>
      <c r="AL254" s="81" t="n"/>
      <c r="AM254" s="81" t="n"/>
      <c r="AN254" s="81" t="n"/>
      <c r="AO254" s="113" t="n"/>
      <c r="AP254" s="113" t="n"/>
      <c r="AQ254" s="81" t="n"/>
      <c r="AR254" s="113" t="n"/>
      <c r="AS254" s="113" t="n"/>
      <c r="AT254" s="114" t="n"/>
      <c r="AU254" s="81" t="n"/>
      <c r="AV254" s="114" t="n"/>
      <c r="AW254" s="114" t="n"/>
      <c r="AX254" s="81" t="n"/>
      <c r="AY254" s="113" t="n"/>
      <c r="AZ254" s="115">
        <f>IF($B254="","",COUNTIF(References!$A$4:$A$503,$A254))</f>
        <v/>
      </c>
      <c r="BA254" s="115">
        <f>IF($B254="","",(LEN(A254)=0)+(LEN(B254)=0)+(LEN(D254)=0)+(LEN(G254)=0)+(LEN(H254)=0)+(LEN(I254)=0)+(LEN(J254)=0)+(LEN(L254)=0)+(LEN(M254)=0)+(LEN(O254)=0)+(LEN(R254)=0)+(LEN(X254)=0)+(LEN(AI254)=0)+(LEN(AJ254)=0)+(LEN(AQ254)=0)+(LEN(AR254)=0)+(LEN(AT254)=0)+(LEN(AU254)=0)+(LEN(AV254)=0)+(LEN(AX254)=0))</f>
        <v/>
      </c>
      <c r="BB254" s="115">
        <f>IF($B254="","",IF(AND(BA254=0,AZ254&gt;=1),"Complete","Incomplete"))</f>
        <v/>
      </c>
    </row>
    <row r="255" ht="15" customHeight="1" s="62">
      <c r="A255" s="81" t="n"/>
      <c r="B255" s="113" t="n"/>
      <c r="C255" s="81" t="n"/>
      <c r="D255" s="81" t="n"/>
      <c r="E255" s="81" t="n"/>
      <c r="F255" s="81" t="n"/>
      <c r="G255" s="81" t="n"/>
      <c r="H255" s="81" t="n"/>
      <c r="I255" s="81" t="n"/>
      <c r="J255" s="81" t="n"/>
      <c r="K255" s="81" t="n"/>
      <c r="L255" s="113" t="n"/>
      <c r="M255" s="81" t="n"/>
      <c r="N255" s="81" t="n"/>
      <c r="O255" s="81" t="n"/>
      <c r="P255" s="81" t="n"/>
      <c r="Q255" s="113" t="n"/>
      <c r="R255" s="113" t="n"/>
      <c r="S255" s="113" t="n"/>
      <c r="T255" s="81" t="n"/>
      <c r="U255" s="81" t="n"/>
      <c r="V255" s="113" t="n"/>
      <c r="W255" s="81" t="n"/>
      <c r="X255" s="81" t="n"/>
      <c r="Y255" s="81" t="n"/>
      <c r="Z255" s="81" t="n"/>
      <c r="AA255" s="81" t="n"/>
      <c r="AB255" s="81" t="n"/>
      <c r="AC255" s="81" t="n"/>
      <c r="AD255" s="81" t="n"/>
      <c r="AE255" s="81" t="n"/>
      <c r="AF255" s="81" t="n"/>
      <c r="AG255" s="81" t="n"/>
      <c r="AH255" s="113" t="n"/>
      <c r="AI255" s="81" t="n"/>
      <c r="AJ255" s="81" t="n"/>
      <c r="AK255" s="113" t="n"/>
      <c r="AL255" s="81" t="n"/>
      <c r="AM255" s="81" t="n"/>
      <c r="AN255" s="81" t="n"/>
      <c r="AO255" s="113" t="n"/>
      <c r="AP255" s="113" t="n"/>
      <c r="AQ255" s="81" t="n"/>
      <c r="AR255" s="113" t="n"/>
      <c r="AS255" s="113" t="n"/>
      <c r="AT255" s="114" t="n"/>
      <c r="AU255" s="81" t="n"/>
      <c r="AV255" s="114" t="n"/>
      <c r="AW255" s="114" t="n"/>
      <c r="AX255" s="81" t="n"/>
      <c r="AY255" s="113" t="n"/>
      <c r="AZ255" s="115">
        <f>IF($B255="","",COUNTIF(References!$A$4:$A$503,$A255))</f>
        <v/>
      </c>
      <c r="BA255" s="115">
        <f>IF($B255="","",(LEN(A255)=0)+(LEN(B255)=0)+(LEN(D255)=0)+(LEN(G255)=0)+(LEN(H255)=0)+(LEN(I255)=0)+(LEN(J255)=0)+(LEN(L255)=0)+(LEN(M255)=0)+(LEN(O255)=0)+(LEN(R255)=0)+(LEN(X255)=0)+(LEN(AI255)=0)+(LEN(AJ255)=0)+(LEN(AQ255)=0)+(LEN(AR255)=0)+(LEN(AT255)=0)+(LEN(AU255)=0)+(LEN(AV255)=0)+(LEN(AX255)=0))</f>
        <v/>
      </c>
      <c r="BB255" s="115">
        <f>IF($B255="","",IF(AND(BA255=0,AZ255&gt;=1),"Complete","Incomplete"))</f>
        <v/>
      </c>
    </row>
    <row r="256" ht="15" customHeight="1" s="62">
      <c r="A256" s="81" t="n"/>
      <c r="B256" s="113" t="n"/>
      <c r="C256" s="81" t="n"/>
      <c r="D256" s="81" t="n"/>
      <c r="E256" s="81" t="n"/>
      <c r="F256" s="81" t="n"/>
      <c r="G256" s="81" t="n"/>
      <c r="H256" s="81" t="n"/>
      <c r="I256" s="81" t="n"/>
      <c r="J256" s="81" t="n"/>
      <c r="K256" s="81" t="n"/>
      <c r="L256" s="113" t="n"/>
      <c r="M256" s="81" t="n"/>
      <c r="N256" s="81" t="n"/>
      <c r="O256" s="81" t="n"/>
      <c r="P256" s="81" t="n"/>
      <c r="Q256" s="113" t="n"/>
      <c r="R256" s="113" t="n"/>
      <c r="S256" s="113" t="n"/>
      <c r="T256" s="81" t="n"/>
      <c r="U256" s="81" t="n"/>
      <c r="V256" s="113" t="n"/>
      <c r="W256" s="81" t="n"/>
      <c r="X256" s="81" t="n"/>
      <c r="Y256" s="81" t="n"/>
      <c r="Z256" s="81" t="n"/>
      <c r="AA256" s="81" t="n"/>
      <c r="AB256" s="81" t="n"/>
      <c r="AC256" s="81" t="n"/>
      <c r="AD256" s="81" t="n"/>
      <c r="AE256" s="81" t="n"/>
      <c r="AF256" s="81" t="n"/>
      <c r="AG256" s="81" t="n"/>
      <c r="AH256" s="113" t="n"/>
      <c r="AI256" s="81" t="n"/>
      <c r="AJ256" s="81" t="n"/>
      <c r="AK256" s="113" t="n"/>
      <c r="AL256" s="81" t="n"/>
      <c r="AM256" s="81" t="n"/>
      <c r="AN256" s="81" t="n"/>
      <c r="AO256" s="113" t="n"/>
      <c r="AP256" s="113" t="n"/>
      <c r="AQ256" s="81" t="n"/>
      <c r="AR256" s="113" t="n"/>
      <c r="AS256" s="113" t="n"/>
      <c r="AT256" s="114" t="n"/>
      <c r="AU256" s="81" t="n"/>
      <c r="AV256" s="114" t="n"/>
      <c r="AW256" s="114" t="n"/>
      <c r="AX256" s="81" t="n"/>
      <c r="AY256" s="113" t="n"/>
      <c r="AZ256" s="115">
        <f>IF($B256="","",COUNTIF(References!$A$4:$A$503,$A256))</f>
        <v/>
      </c>
      <c r="BA256" s="115">
        <f>IF($B256="","",(LEN(A256)=0)+(LEN(B256)=0)+(LEN(D256)=0)+(LEN(G256)=0)+(LEN(H256)=0)+(LEN(I256)=0)+(LEN(J256)=0)+(LEN(L256)=0)+(LEN(M256)=0)+(LEN(O256)=0)+(LEN(R256)=0)+(LEN(X256)=0)+(LEN(AI256)=0)+(LEN(AJ256)=0)+(LEN(AQ256)=0)+(LEN(AR256)=0)+(LEN(AT256)=0)+(LEN(AU256)=0)+(LEN(AV256)=0)+(LEN(AX256)=0))</f>
        <v/>
      </c>
      <c r="BB256" s="115">
        <f>IF($B256="","",IF(AND(BA256=0,AZ256&gt;=1),"Complete","Incomplete"))</f>
        <v/>
      </c>
    </row>
    <row r="257" ht="15" customHeight="1" s="62">
      <c r="A257" s="81" t="n"/>
      <c r="B257" s="113" t="n"/>
      <c r="C257" s="81" t="n"/>
      <c r="D257" s="81" t="n"/>
      <c r="E257" s="81" t="n"/>
      <c r="F257" s="81" t="n"/>
      <c r="G257" s="81" t="n"/>
      <c r="H257" s="81" t="n"/>
      <c r="I257" s="81" t="n"/>
      <c r="J257" s="81" t="n"/>
      <c r="K257" s="81" t="n"/>
      <c r="L257" s="113" t="n"/>
      <c r="M257" s="81" t="n"/>
      <c r="N257" s="81" t="n"/>
      <c r="O257" s="81" t="n"/>
      <c r="P257" s="81" t="n"/>
      <c r="Q257" s="113" t="n"/>
      <c r="R257" s="113" t="n"/>
      <c r="S257" s="113" t="n"/>
      <c r="T257" s="81" t="n"/>
      <c r="U257" s="81" t="n"/>
      <c r="V257" s="113" t="n"/>
      <c r="W257" s="81" t="n"/>
      <c r="X257" s="81" t="n"/>
      <c r="Y257" s="81" t="n"/>
      <c r="Z257" s="81" t="n"/>
      <c r="AA257" s="81" t="n"/>
      <c r="AB257" s="81" t="n"/>
      <c r="AC257" s="81" t="n"/>
      <c r="AD257" s="81" t="n"/>
      <c r="AE257" s="81" t="n"/>
      <c r="AF257" s="81" t="n"/>
      <c r="AG257" s="81" t="n"/>
      <c r="AH257" s="113" t="n"/>
      <c r="AI257" s="81" t="n"/>
      <c r="AJ257" s="81" t="n"/>
      <c r="AK257" s="113" t="n"/>
      <c r="AL257" s="81" t="n"/>
      <c r="AM257" s="81" t="n"/>
      <c r="AN257" s="81" t="n"/>
      <c r="AO257" s="113" t="n"/>
      <c r="AP257" s="113" t="n"/>
      <c r="AQ257" s="81" t="n"/>
      <c r="AR257" s="113" t="n"/>
      <c r="AS257" s="113" t="n"/>
      <c r="AT257" s="114" t="n"/>
      <c r="AU257" s="81" t="n"/>
      <c r="AV257" s="114" t="n"/>
      <c r="AW257" s="114" t="n"/>
      <c r="AX257" s="81" t="n"/>
      <c r="AY257" s="113" t="n"/>
      <c r="AZ257" s="115">
        <f>IF($B257="","",COUNTIF(References!$A$4:$A$503,$A257))</f>
        <v/>
      </c>
      <c r="BA257" s="115">
        <f>IF($B257="","",(LEN(A257)=0)+(LEN(B257)=0)+(LEN(D257)=0)+(LEN(G257)=0)+(LEN(H257)=0)+(LEN(I257)=0)+(LEN(J257)=0)+(LEN(L257)=0)+(LEN(M257)=0)+(LEN(O257)=0)+(LEN(R257)=0)+(LEN(X257)=0)+(LEN(AI257)=0)+(LEN(AJ257)=0)+(LEN(AQ257)=0)+(LEN(AR257)=0)+(LEN(AT257)=0)+(LEN(AU257)=0)+(LEN(AV257)=0)+(LEN(AX257)=0))</f>
        <v/>
      </c>
      <c r="BB257" s="115">
        <f>IF($B257="","",IF(AND(BA257=0,AZ257&gt;=1),"Complete","Incomplete"))</f>
        <v/>
      </c>
    </row>
    <row r="258" ht="15" customHeight="1" s="62">
      <c r="A258" s="81" t="n"/>
      <c r="B258" s="113" t="n"/>
      <c r="C258" s="81" t="n"/>
      <c r="D258" s="81" t="n"/>
      <c r="E258" s="81" t="n"/>
      <c r="F258" s="81" t="n"/>
      <c r="G258" s="81" t="n"/>
      <c r="H258" s="81" t="n"/>
      <c r="I258" s="81" t="n"/>
      <c r="J258" s="81" t="n"/>
      <c r="K258" s="81" t="n"/>
      <c r="L258" s="113" t="n"/>
      <c r="M258" s="81" t="n"/>
      <c r="N258" s="81" t="n"/>
      <c r="O258" s="81" t="n"/>
      <c r="P258" s="81" t="n"/>
      <c r="Q258" s="113" t="n"/>
      <c r="R258" s="113" t="n"/>
      <c r="S258" s="113" t="n"/>
      <c r="T258" s="81" t="n"/>
      <c r="U258" s="81" t="n"/>
      <c r="V258" s="113" t="n"/>
      <c r="W258" s="81" t="n"/>
      <c r="X258" s="81" t="n"/>
      <c r="Y258" s="81" t="n"/>
      <c r="Z258" s="81" t="n"/>
      <c r="AA258" s="81" t="n"/>
      <c r="AB258" s="81" t="n"/>
      <c r="AC258" s="81" t="n"/>
      <c r="AD258" s="81" t="n"/>
      <c r="AE258" s="81" t="n"/>
      <c r="AF258" s="81" t="n"/>
      <c r="AG258" s="81" t="n"/>
      <c r="AH258" s="113" t="n"/>
      <c r="AI258" s="81" t="n"/>
      <c r="AJ258" s="81" t="n"/>
      <c r="AK258" s="113" t="n"/>
      <c r="AL258" s="81" t="n"/>
      <c r="AM258" s="81" t="n"/>
      <c r="AN258" s="81" t="n"/>
      <c r="AO258" s="113" t="n"/>
      <c r="AP258" s="113" t="n"/>
      <c r="AQ258" s="81" t="n"/>
      <c r="AR258" s="113" t="n"/>
      <c r="AS258" s="113" t="n"/>
      <c r="AT258" s="114" t="n"/>
      <c r="AU258" s="81" t="n"/>
      <c r="AV258" s="114" t="n"/>
      <c r="AW258" s="114" t="n"/>
      <c r="AX258" s="81" t="n"/>
      <c r="AY258" s="113" t="n"/>
      <c r="AZ258" s="115">
        <f>IF($B258="","",COUNTIF(References!$A$4:$A$503,$A258))</f>
        <v/>
      </c>
      <c r="BA258" s="115">
        <f>IF($B258="","",(LEN(A258)=0)+(LEN(B258)=0)+(LEN(D258)=0)+(LEN(G258)=0)+(LEN(H258)=0)+(LEN(I258)=0)+(LEN(J258)=0)+(LEN(L258)=0)+(LEN(M258)=0)+(LEN(O258)=0)+(LEN(R258)=0)+(LEN(X258)=0)+(LEN(AI258)=0)+(LEN(AJ258)=0)+(LEN(AQ258)=0)+(LEN(AR258)=0)+(LEN(AT258)=0)+(LEN(AU258)=0)+(LEN(AV258)=0)+(LEN(AX258)=0))</f>
        <v/>
      </c>
      <c r="BB258" s="115">
        <f>IF($B258="","",IF(AND(BA258=0,AZ258&gt;=1),"Complete","Incomplete"))</f>
        <v/>
      </c>
    </row>
    <row r="259" ht="15" customHeight="1" s="62">
      <c r="A259" s="81" t="n"/>
      <c r="B259" s="113" t="n"/>
      <c r="C259" s="81" t="n"/>
      <c r="D259" s="81" t="n"/>
      <c r="E259" s="81" t="n"/>
      <c r="F259" s="81" t="n"/>
      <c r="G259" s="81" t="n"/>
      <c r="H259" s="81" t="n"/>
      <c r="I259" s="81" t="n"/>
      <c r="J259" s="81" t="n"/>
      <c r="K259" s="81" t="n"/>
      <c r="L259" s="113" t="n"/>
      <c r="M259" s="81" t="n"/>
      <c r="N259" s="81" t="n"/>
      <c r="O259" s="81" t="n"/>
      <c r="P259" s="81" t="n"/>
      <c r="Q259" s="113" t="n"/>
      <c r="R259" s="113" t="n"/>
      <c r="S259" s="113" t="n"/>
      <c r="T259" s="81" t="n"/>
      <c r="U259" s="81" t="n"/>
      <c r="V259" s="113" t="n"/>
      <c r="W259" s="81" t="n"/>
      <c r="X259" s="81" t="n"/>
      <c r="Y259" s="81" t="n"/>
      <c r="Z259" s="81" t="n"/>
      <c r="AA259" s="81" t="n"/>
      <c r="AB259" s="81" t="n"/>
      <c r="AC259" s="81" t="n"/>
      <c r="AD259" s="81" t="n"/>
      <c r="AE259" s="81" t="n"/>
      <c r="AF259" s="81" t="n"/>
      <c r="AG259" s="81" t="n"/>
      <c r="AH259" s="113" t="n"/>
      <c r="AI259" s="81" t="n"/>
      <c r="AJ259" s="81" t="n"/>
      <c r="AK259" s="113" t="n"/>
      <c r="AL259" s="81" t="n"/>
      <c r="AM259" s="81" t="n"/>
      <c r="AN259" s="81" t="n"/>
      <c r="AO259" s="113" t="n"/>
      <c r="AP259" s="113" t="n"/>
      <c r="AQ259" s="81" t="n"/>
      <c r="AR259" s="113" t="n"/>
      <c r="AS259" s="113" t="n"/>
      <c r="AT259" s="114" t="n"/>
      <c r="AU259" s="81" t="n"/>
      <c r="AV259" s="114" t="n"/>
      <c r="AW259" s="114" t="n"/>
      <c r="AX259" s="81" t="n"/>
      <c r="AY259" s="113" t="n"/>
      <c r="AZ259" s="115">
        <f>IF($B259="","",COUNTIF(References!$A$4:$A$503,$A259))</f>
        <v/>
      </c>
      <c r="BA259" s="115">
        <f>IF($B259="","",(LEN(A259)=0)+(LEN(B259)=0)+(LEN(D259)=0)+(LEN(G259)=0)+(LEN(H259)=0)+(LEN(I259)=0)+(LEN(J259)=0)+(LEN(L259)=0)+(LEN(M259)=0)+(LEN(O259)=0)+(LEN(R259)=0)+(LEN(X259)=0)+(LEN(AI259)=0)+(LEN(AJ259)=0)+(LEN(AQ259)=0)+(LEN(AR259)=0)+(LEN(AT259)=0)+(LEN(AU259)=0)+(LEN(AV259)=0)+(LEN(AX259)=0))</f>
        <v/>
      </c>
      <c r="BB259" s="115">
        <f>IF($B259="","",IF(AND(BA259=0,AZ259&gt;=1),"Complete","Incomplete"))</f>
        <v/>
      </c>
    </row>
    <row r="260" ht="15" customHeight="1" s="62">
      <c r="A260" s="81" t="n"/>
      <c r="B260" s="113" t="n"/>
      <c r="C260" s="81" t="n"/>
      <c r="D260" s="81" t="n"/>
      <c r="E260" s="81" t="n"/>
      <c r="F260" s="81" t="n"/>
      <c r="G260" s="81" t="n"/>
      <c r="H260" s="81" t="n"/>
      <c r="I260" s="81" t="n"/>
      <c r="J260" s="81" t="n"/>
      <c r="K260" s="81" t="n"/>
      <c r="L260" s="113" t="n"/>
      <c r="M260" s="81" t="n"/>
      <c r="N260" s="81" t="n"/>
      <c r="O260" s="81" t="n"/>
      <c r="P260" s="81" t="n"/>
      <c r="Q260" s="113" t="n"/>
      <c r="R260" s="113" t="n"/>
      <c r="S260" s="113" t="n"/>
      <c r="T260" s="81" t="n"/>
      <c r="U260" s="81" t="n"/>
      <c r="V260" s="113" t="n"/>
      <c r="W260" s="81" t="n"/>
      <c r="X260" s="81" t="n"/>
      <c r="Y260" s="81" t="n"/>
      <c r="Z260" s="81" t="n"/>
      <c r="AA260" s="81" t="n"/>
      <c r="AB260" s="81" t="n"/>
      <c r="AC260" s="81" t="n"/>
      <c r="AD260" s="81" t="n"/>
      <c r="AE260" s="81" t="n"/>
      <c r="AF260" s="81" t="n"/>
      <c r="AG260" s="81" t="n"/>
      <c r="AH260" s="113" t="n"/>
      <c r="AI260" s="81" t="n"/>
      <c r="AJ260" s="81" t="n"/>
      <c r="AK260" s="113" t="n"/>
      <c r="AL260" s="81" t="n"/>
      <c r="AM260" s="81" t="n"/>
      <c r="AN260" s="81" t="n"/>
      <c r="AO260" s="113" t="n"/>
      <c r="AP260" s="113" t="n"/>
      <c r="AQ260" s="81" t="n"/>
      <c r="AR260" s="113" t="n"/>
      <c r="AS260" s="113" t="n"/>
      <c r="AT260" s="114" t="n"/>
      <c r="AU260" s="81" t="n"/>
      <c r="AV260" s="114" t="n"/>
      <c r="AW260" s="114" t="n"/>
      <c r="AX260" s="81" t="n"/>
      <c r="AY260" s="113" t="n"/>
      <c r="AZ260" s="115">
        <f>IF($B260="","",COUNTIF(References!$A$4:$A$503,$A260))</f>
        <v/>
      </c>
      <c r="BA260" s="115">
        <f>IF($B260="","",(LEN(A260)=0)+(LEN(B260)=0)+(LEN(D260)=0)+(LEN(G260)=0)+(LEN(H260)=0)+(LEN(I260)=0)+(LEN(J260)=0)+(LEN(L260)=0)+(LEN(M260)=0)+(LEN(O260)=0)+(LEN(R260)=0)+(LEN(X260)=0)+(LEN(AI260)=0)+(LEN(AJ260)=0)+(LEN(AQ260)=0)+(LEN(AR260)=0)+(LEN(AT260)=0)+(LEN(AU260)=0)+(LEN(AV260)=0)+(LEN(AX260)=0))</f>
        <v/>
      </c>
      <c r="BB260" s="115">
        <f>IF($B260="","",IF(AND(BA260=0,AZ260&gt;=1),"Complete","Incomplete"))</f>
        <v/>
      </c>
    </row>
    <row r="261" ht="15" customHeight="1" s="62">
      <c r="A261" s="81" t="n"/>
      <c r="B261" s="113" t="n"/>
      <c r="C261" s="81" t="n"/>
      <c r="D261" s="81" t="n"/>
      <c r="E261" s="81" t="n"/>
      <c r="F261" s="81" t="n"/>
      <c r="G261" s="81" t="n"/>
      <c r="H261" s="81" t="n"/>
      <c r="I261" s="81" t="n"/>
      <c r="J261" s="81" t="n"/>
      <c r="K261" s="81" t="n"/>
      <c r="L261" s="113" t="n"/>
      <c r="M261" s="81" t="n"/>
      <c r="N261" s="81" t="n"/>
      <c r="O261" s="81" t="n"/>
      <c r="P261" s="81" t="n"/>
      <c r="Q261" s="113" t="n"/>
      <c r="R261" s="113" t="n"/>
      <c r="S261" s="113" t="n"/>
      <c r="T261" s="81" t="n"/>
      <c r="U261" s="81" t="n"/>
      <c r="V261" s="113" t="n"/>
      <c r="W261" s="81" t="n"/>
      <c r="X261" s="81" t="n"/>
      <c r="Y261" s="81" t="n"/>
      <c r="Z261" s="81" t="n"/>
      <c r="AA261" s="81" t="n"/>
      <c r="AB261" s="81" t="n"/>
      <c r="AC261" s="81" t="n"/>
      <c r="AD261" s="81" t="n"/>
      <c r="AE261" s="81" t="n"/>
      <c r="AF261" s="81" t="n"/>
      <c r="AG261" s="81" t="n"/>
      <c r="AH261" s="113" t="n"/>
      <c r="AI261" s="81" t="n"/>
      <c r="AJ261" s="81" t="n"/>
      <c r="AK261" s="113" t="n"/>
      <c r="AL261" s="81" t="n"/>
      <c r="AM261" s="81" t="n"/>
      <c r="AN261" s="81" t="n"/>
      <c r="AO261" s="113" t="n"/>
      <c r="AP261" s="113" t="n"/>
      <c r="AQ261" s="81" t="n"/>
      <c r="AR261" s="113" t="n"/>
      <c r="AS261" s="113" t="n"/>
      <c r="AT261" s="114" t="n"/>
      <c r="AU261" s="81" t="n"/>
      <c r="AV261" s="114" t="n"/>
      <c r="AW261" s="114" t="n"/>
      <c r="AX261" s="81" t="n"/>
      <c r="AY261" s="113" t="n"/>
      <c r="AZ261" s="115">
        <f>IF($B261="","",COUNTIF(References!$A$4:$A$503,$A261))</f>
        <v/>
      </c>
      <c r="BA261" s="115">
        <f>IF($B261="","",(LEN(A261)=0)+(LEN(B261)=0)+(LEN(D261)=0)+(LEN(G261)=0)+(LEN(H261)=0)+(LEN(I261)=0)+(LEN(J261)=0)+(LEN(L261)=0)+(LEN(M261)=0)+(LEN(O261)=0)+(LEN(R261)=0)+(LEN(X261)=0)+(LEN(AI261)=0)+(LEN(AJ261)=0)+(LEN(AQ261)=0)+(LEN(AR261)=0)+(LEN(AT261)=0)+(LEN(AU261)=0)+(LEN(AV261)=0)+(LEN(AX261)=0))</f>
        <v/>
      </c>
      <c r="BB261" s="115">
        <f>IF($B261="","",IF(AND(BA261=0,AZ261&gt;=1),"Complete","Incomplete"))</f>
        <v/>
      </c>
    </row>
    <row r="262" ht="15" customHeight="1" s="62">
      <c r="A262" s="81" t="n"/>
      <c r="B262" s="113" t="n"/>
      <c r="C262" s="81" t="n"/>
      <c r="D262" s="81" t="n"/>
      <c r="E262" s="81" t="n"/>
      <c r="F262" s="81" t="n"/>
      <c r="G262" s="81" t="n"/>
      <c r="H262" s="81" t="n"/>
      <c r="I262" s="81" t="n"/>
      <c r="J262" s="81" t="n"/>
      <c r="K262" s="81" t="n"/>
      <c r="L262" s="113" t="n"/>
      <c r="M262" s="81" t="n"/>
      <c r="N262" s="81" t="n"/>
      <c r="O262" s="81" t="n"/>
      <c r="P262" s="81" t="n"/>
      <c r="Q262" s="113" t="n"/>
      <c r="R262" s="113" t="n"/>
      <c r="S262" s="113" t="n"/>
      <c r="T262" s="81" t="n"/>
      <c r="U262" s="81" t="n"/>
      <c r="V262" s="113" t="n"/>
      <c r="W262" s="81" t="n"/>
      <c r="X262" s="81" t="n"/>
      <c r="Y262" s="81" t="n"/>
      <c r="Z262" s="81" t="n"/>
      <c r="AA262" s="81" t="n"/>
      <c r="AB262" s="81" t="n"/>
      <c r="AC262" s="81" t="n"/>
      <c r="AD262" s="81" t="n"/>
      <c r="AE262" s="81" t="n"/>
      <c r="AF262" s="81" t="n"/>
      <c r="AG262" s="81" t="n"/>
      <c r="AH262" s="113" t="n"/>
      <c r="AI262" s="81" t="n"/>
      <c r="AJ262" s="81" t="n"/>
      <c r="AK262" s="113" t="n"/>
      <c r="AL262" s="81" t="n"/>
      <c r="AM262" s="81" t="n"/>
      <c r="AN262" s="81" t="n"/>
      <c r="AO262" s="113" t="n"/>
      <c r="AP262" s="113" t="n"/>
      <c r="AQ262" s="81" t="n"/>
      <c r="AR262" s="113" t="n"/>
      <c r="AS262" s="113" t="n"/>
      <c r="AT262" s="114" t="n"/>
      <c r="AU262" s="81" t="n"/>
      <c r="AV262" s="114" t="n"/>
      <c r="AW262" s="114" t="n"/>
      <c r="AX262" s="81" t="n"/>
      <c r="AY262" s="113" t="n"/>
      <c r="AZ262" s="115">
        <f>IF($B262="","",COUNTIF(References!$A$4:$A$503,$A262))</f>
        <v/>
      </c>
      <c r="BA262" s="115">
        <f>IF($B262="","",(LEN(A262)=0)+(LEN(B262)=0)+(LEN(D262)=0)+(LEN(G262)=0)+(LEN(H262)=0)+(LEN(I262)=0)+(LEN(J262)=0)+(LEN(L262)=0)+(LEN(M262)=0)+(LEN(O262)=0)+(LEN(R262)=0)+(LEN(X262)=0)+(LEN(AI262)=0)+(LEN(AJ262)=0)+(LEN(AQ262)=0)+(LEN(AR262)=0)+(LEN(AT262)=0)+(LEN(AU262)=0)+(LEN(AV262)=0)+(LEN(AX262)=0))</f>
        <v/>
      </c>
      <c r="BB262" s="115">
        <f>IF($B262="","",IF(AND(BA262=0,AZ262&gt;=1),"Complete","Incomplete"))</f>
        <v/>
      </c>
    </row>
    <row r="263" ht="15" customHeight="1" s="62">
      <c r="A263" s="81" t="n"/>
      <c r="B263" s="113" t="n"/>
      <c r="C263" s="81" t="n"/>
      <c r="D263" s="81" t="n"/>
      <c r="E263" s="81" t="n"/>
      <c r="F263" s="81" t="n"/>
      <c r="G263" s="81" t="n"/>
      <c r="H263" s="81" t="n"/>
      <c r="I263" s="81" t="n"/>
      <c r="J263" s="81" t="n"/>
      <c r="K263" s="81" t="n"/>
      <c r="L263" s="113" t="n"/>
      <c r="M263" s="81" t="n"/>
      <c r="N263" s="81" t="n"/>
      <c r="O263" s="81" t="n"/>
      <c r="P263" s="81" t="n"/>
      <c r="Q263" s="113" t="n"/>
      <c r="R263" s="113" t="n"/>
      <c r="S263" s="113" t="n"/>
      <c r="T263" s="81" t="n"/>
      <c r="U263" s="81" t="n"/>
      <c r="V263" s="113" t="n"/>
      <c r="W263" s="81" t="n"/>
      <c r="X263" s="81" t="n"/>
      <c r="Y263" s="81" t="n"/>
      <c r="Z263" s="81" t="n"/>
      <c r="AA263" s="81" t="n"/>
      <c r="AB263" s="81" t="n"/>
      <c r="AC263" s="81" t="n"/>
      <c r="AD263" s="81" t="n"/>
      <c r="AE263" s="81" t="n"/>
      <c r="AF263" s="81" t="n"/>
      <c r="AG263" s="81" t="n"/>
      <c r="AH263" s="113" t="n"/>
      <c r="AI263" s="81" t="n"/>
      <c r="AJ263" s="81" t="n"/>
      <c r="AK263" s="113" t="n"/>
      <c r="AL263" s="81" t="n"/>
      <c r="AM263" s="81" t="n"/>
      <c r="AN263" s="81" t="n"/>
      <c r="AO263" s="113" t="n"/>
      <c r="AP263" s="113" t="n"/>
      <c r="AQ263" s="81" t="n"/>
      <c r="AR263" s="113" t="n"/>
      <c r="AS263" s="113" t="n"/>
      <c r="AT263" s="114" t="n"/>
      <c r="AU263" s="81" t="n"/>
      <c r="AV263" s="114" t="n"/>
      <c r="AW263" s="114" t="n"/>
      <c r="AX263" s="81" t="n"/>
      <c r="AY263" s="113" t="n"/>
      <c r="AZ263" s="115">
        <f>IF($B263="","",COUNTIF(References!$A$4:$A$503,$A263))</f>
        <v/>
      </c>
      <c r="BA263" s="115">
        <f>IF($B263="","",(LEN(A263)=0)+(LEN(B263)=0)+(LEN(D263)=0)+(LEN(G263)=0)+(LEN(H263)=0)+(LEN(I263)=0)+(LEN(J263)=0)+(LEN(L263)=0)+(LEN(M263)=0)+(LEN(O263)=0)+(LEN(R263)=0)+(LEN(X263)=0)+(LEN(AI263)=0)+(LEN(AJ263)=0)+(LEN(AQ263)=0)+(LEN(AR263)=0)+(LEN(AT263)=0)+(LEN(AU263)=0)+(LEN(AV263)=0)+(LEN(AX263)=0))</f>
        <v/>
      </c>
      <c r="BB263" s="115">
        <f>IF($B263="","",IF(AND(BA263=0,AZ263&gt;=1),"Complete","Incomplete"))</f>
        <v/>
      </c>
    </row>
    <row r="264" ht="15" customHeight="1" s="62">
      <c r="A264" s="81" t="n"/>
      <c r="B264" s="113" t="n"/>
      <c r="C264" s="81" t="n"/>
      <c r="D264" s="81" t="n"/>
      <c r="E264" s="81" t="n"/>
      <c r="F264" s="81" t="n"/>
      <c r="G264" s="81" t="n"/>
      <c r="H264" s="81" t="n"/>
      <c r="I264" s="81" t="n"/>
      <c r="J264" s="81" t="n"/>
      <c r="K264" s="81" t="n"/>
      <c r="L264" s="113" t="n"/>
      <c r="M264" s="81" t="n"/>
      <c r="N264" s="81" t="n"/>
      <c r="O264" s="81" t="n"/>
      <c r="P264" s="81" t="n"/>
      <c r="Q264" s="113" t="n"/>
      <c r="R264" s="113" t="n"/>
      <c r="S264" s="113" t="n"/>
      <c r="T264" s="81" t="n"/>
      <c r="U264" s="81" t="n"/>
      <c r="V264" s="113" t="n"/>
      <c r="W264" s="81" t="n"/>
      <c r="X264" s="81" t="n"/>
      <c r="Y264" s="81" t="n"/>
      <c r="Z264" s="81" t="n"/>
      <c r="AA264" s="81" t="n"/>
      <c r="AB264" s="81" t="n"/>
      <c r="AC264" s="81" t="n"/>
      <c r="AD264" s="81" t="n"/>
      <c r="AE264" s="81" t="n"/>
      <c r="AF264" s="81" t="n"/>
      <c r="AG264" s="81" t="n"/>
      <c r="AH264" s="113" t="n"/>
      <c r="AI264" s="81" t="n"/>
      <c r="AJ264" s="81" t="n"/>
      <c r="AK264" s="113" t="n"/>
      <c r="AL264" s="81" t="n"/>
      <c r="AM264" s="81" t="n"/>
      <c r="AN264" s="81" t="n"/>
      <c r="AO264" s="113" t="n"/>
      <c r="AP264" s="113" t="n"/>
      <c r="AQ264" s="81" t="n"/>
      <c r="AR264" s="113" t="n"/>
      <c r="AS264" s="113" t="n"/>
      <c r="AT264" s="114" t="n"/>
      <c r="AU264" s="81" t="n"/>
      <c r="AV264" s="114" t="n"/>
      <c r="AW264" s="114" t="n"/>
      <c r="AX264" s="81" t="n"/>
      <c r="AY264" s="113" t="n"/>
      <c r="AZ264" s="115">
        <f>IF($B264="","",COUNTIF(References!$A$4:$A$503,$A264))</f>
        <v/>
      </c>
      <c r="BA264" s="115">
        <f>IF($B264="","",(LEN(A264)=0)+(LEN(B264)=0)+(LEN(D264)=0)+(LEN(G264)=0)+(LEN(H264)=0)+(LEN(I264)=0)+(LEN(J264)=0)+(LEN(L264)=0)+(LEN(M264)=0)+(LEN(O264)=0)+(LEN(R264)=0)+(LEN(X264)=0)+(LEN(AI264)=0)+(LEN(AJ264)=0)+(LEN(AQ264)=0)+(LEN(AR264)=0)+(LEN(AT264)=0)+(LEN(AU264)=0)+(LEN(AV264)=0)+(LEN(AX264)=0))</f>
        <v/>
      </c>
      <c r="BB264" s="115">
        <f>IF($B264="","",IF(AND(BA264=0,AZ264&gt;=1),"Complete","Incomplete"))</f>
        <v/>
      </c>
    </row>
    <row r="265" ht="15" customHeight="1" s="62">
      <c r="A265" s="81" t="n"/>
      <c r="B265" s="113" t="n"/>
      <c r="C265" s="81" t="n"/>
      <c r="D265" s="81" t="n"/>
      <c r="E265" s="81" t="n"/>
      <c r="F265" s="81" t="n"/>
      <c r="G265" s="81" t="n"/>
      <c r="H265" s="81" t="n"/>
      <c r="I265" s="81" t="n"/>
      <c r="J265" s="81" t="n"/>
      <c r="K265" s="81" t="n"/>
      <c r="L265" s="113" t="n"/>
      <c r="M265" s="81" t="n"/>
      <c r="N265" s="81" t="n"/>
      <c r="O265" s="81" t="n"/>
      <c r="P265" s="81" t="n"/>
      <c r="Q265" s="113" t="n"/>
      <c r="R265" s="113" t="n"/>
      <c r="S265" s="113" t="n"/>
      <c r="T265" s="81" t="n"/>
      <c r="U265" s="81" t="n"/>
      <c r="V265" s="113" t="n"/>
      <c r="W265" s="81" t="n"/>
      <c r="X265" s="81" t="n"/>
      <c r="Y265" s="81" t="n"/>
      <c r="Z265" s="81" t="n"/>
      <c r="AA265" s="81" t="n"/>
      <c r="AB265" s="81" t="n"/>
      <c r="AC265" s="81" t="n"/>
      <c r="AD265" s="81" t="n"/>
      <c r="AE265" s="81" t="n"/>
      <c r="AF265" s="81" t="n"/>
      <c r="AG265" s="81" t="n"/>
      <c r="AH265" s="113" t="n"/>
      <c r="AI265" s="81" t="n"/>
      <c r="AJ265" s="81" t="n"/>
      <c r="AK265" s="113" t="n"/>
      <c r="AL265" s="81" t="n"/>
      <c r="AM265" s="81" t="n"/>
      <c r="AN265" s="81" t="n"/>
      <c r="AO265" s="113" t="n"/>
      <c r="AP265" s="113" t="n"/>
      <c r="AQ265" s="81" t="n"/>
      <c r="AR265" s="113" t="n"/>
      <c r="AS265" s="113" t="n"/>
      <c r="AT265" s="114" t="n"/>
      <c r="AU265" s="81" t="n"/>
      <c r="AV265" s="114" t="n"/>
      <c r="AW265" s="114" t="n"/>
      <c r="AX265" s="81" t="n"/>
      <c r="AY265" s="113" t="n"/>
      <c r="AZ265" s="115">
        <f>IF($B265="","",COUNTIF(References!$A$4:$A$503,$A265))</f>
        <v/>
      </c>
      <c r="BA265" s="115">
        <f>IF($B265="","",(LEN(A265)=0)+(LEN(B265)=0)+(LEN(D265)=0)+(LEN(G265)=0)+(LEN(H265)=0)+(LEN(I265)=0)+(LEN(J265)=0)+(LEN(L265)=0)+(LEN(M265)=0)+(LEN(O265)=0)+(LEN(R265)=0)+(LEN(X265)=0)+(LEN(AI265)=0)+(LEN(AJ265)=0)+(LEN(AQ265)=0)+(LEN(AR265)=0)+(LEN(AT265)=0)+(LEN(AU265)=0)+(LEN(AV265)=0)+(LEN(AX265)=0))</f>
        <v/>
      </c>
      <c r="BB265" s="115">
        <f>IF($B265="","",IF(AND(BA265=0,AZ265&gt;=1),"Complete","Incomplete"))</f>
        <v/>
      </c>
    </row>
    <row r="266" ht="15" customHeight="1" s="62">
      <c r="A266" s="81" t="n"/>
      <c r="B266" s="113" t="n"/>
      <c r="C266" s="81" t="n"/>
      <c r="D266" s="81" t="n"/>
      <c r="E266" s="81" t="n"/>
      <c r="F266" s="81" t="n"/>
      <c r="G266" s="81" t="n"/>
      <c r="H266" s="81" t="n"/>
      <c r="I266" s="81" t="n"/>
      <c r="J266" s="81" t="n"/>
      <c r="K266" s="81" t="n"/>
      <c r="L266" s="113" t="n"/>
      <c r="M266" s="81" t="n"/>
      <c r="N266" s="81" t="n"/>
      <c r="O266" s="81" t="n"/>
      <c r="P266" s="81" t="n"/>
      <c r="Q266" s="113" t="n"/>
      <c r="R266" s="113" t="n"/>
      <c r="S266" s="113" t="n"/>
      <c r="T266" s="81" t="n"/>
      <c r="U266" s="81" t="n"/>
      <c r="V266" s="113" t="n"/>
      <c r="W266" s="81" t="n"/>
      <c r="X266" s="81" t="n"/>
      <c r="Y266" s="81" t="n"/>
      <c r="Z266" s="81" t="n"/>
      <c r="AA266" s="81" t="n"/>
      <c r="AB266" s="81" t="n"/>
      <c r="AC266" s="81" t="n"/>
      <c r="AD266" s="81" t="n"/>
      <c r="AE266" s="81" t="n"/>
      <c r="AF266" s="81" t="n"/>
      <c r="AG266" s="81" t="n"/>
      <c r="AH266" s="113" t="n"/>
      <c r="AI266" s="81" t="n"/>
      <c r="AJ266" s="81" t="n"/>
      <c r="AK266" s="113" t="n"/>
      <c r="AL266" s="81" t="n"/>
      <c r="AM266" s="81" t="n"/>
      <c r="AN266" s="81" t="n"/>
      <c r="AO266" s="113" t="n"/>
      <c r="AP266" s="113" t="n"/>
      <c r="AQ266" s="81" t="n"/>
      <c r="AR266" s="113" t="n"/>
      <c r="AS266" s="113" t="n"/>
      <c r="AT266" s="114" t="n"/>
      <c r="AU266" s="81" t="n"/>
      <c r="AV266" s="114" t="n"/>
      <c r="AW266" s="114" t="n"/>
      <c r="AX266" s="81" t="n"/>
      <c r="AY266" s="113" t="n"/>
      <c r="AZ266" s="115">
        <f>IF($B266="","",COUNTIF(References!$A$4:$A$503,$A266))</f>
        <v/>
      </c>
      <c r="BA266" s="115">
        <f>IF($B266="","",(LEN(A266)=0)+(LEN(B266)=0)+(LEN(D266)=0)+(LEN(G266)=0)+(LEN(H266)=0)+(LEN(I266)=0)+(LEN(J266)=0)+(LEN(L266)=0)+(LEN(M266)=0)+(LEN(O266)=0)+(LEN(R266)=0)+(LEN(X266)=0)+(LEN(AI266)=0)+(LEN(AJ266)=0)+(LEN(AQ266)=0)+(LEN(AR266)=0)+(LEN(AT266)=0)+(LEN(AU266)=0)+(LEN(AV266)=0)+(LEN(AX266)=0))</f>
        <v/>
      </c>
      <c r="BB266" s="115">
        <f>IF($B266="","",IF(AND(BA266=0,AZ266&gt;=1),"Complete","Incomplete"))</f>
        <v/>
      </c>
    </row>
    <row r="267" ht="15" customHeight="1" s="62">
      <c r="A267" s="81" t="n"/>
      <c r="B267" s="113" t="n"/>
      <c r="C267" s="81" t="n"/>
      <c r="D267" s="81" t="n"/>
      <c r="E267" s="81" t="n"/>
      <c r="F267" s="81" t="n"/>
      <c r="G267" s="81" t="n"/>
      <c r="H267" s="81" t="n"/>
      <c r="I267" s="81" t="n"/>
      <c r="J267" s="81" t="n"/>
      <c r="K267" s="81" t="n"/>
      <c r="L267" s="113" t="n"/>
      <c r="M267" s="81" t="n"/>
      <c r="N267" s="81" t="n"/>
      <c r="O267" s="81" t="n"/>
      <c r="P267" s="81" t="n"/>
      <c r="Q267" s="113" t="n"/>
      <c r="R267" s="113" t="n"/>
      <c r="S267" s="113" t="n"/>
      <c r="T267" s="81" t="n"/>
      <c r="U267" s="81" t="n"/>
      <c r="V267" s="113" t="n"/>
      <c r="W267" s="81" t="n"/>
      <c r="X267" s="81" t="n"/>
      <c r="Y267" s="81" t="n"/>
      <c r="Z267" s="81" t="n"/>
      <c r="AA267" s="81" t="n"/>
      <c r="AB267" s="81" t="n"/>
      <c r="AC267" s="81" t="n"/>
      <c r="AD267" s="81" t="n"/>
      <c r="AE267" s="81" t="n"/>
      <c r="AF267" s="81" t="n"/>
      <c r="AG267" s="81" t="n"/>
      <c r="AH267" s="113" t="n"/>
      <c r="AI267" s="81" t="n"/>
      <c r="AJ267" s="81" t="n"/>
      <c r="AK267" s="113" t="n"/>
      <c r="AL267" s="81" t="n"/>
      <c r="AM267" s="81" t="n"/>
      <c r="AN267" s="81" t="n"/>
      <c r="AO267" s="113" t="n"/>
      <c r="AP267" s="113" t="n"/>
      <c r="AQ267" s="81" t="n"/>
      <c r="AR267" s="113" t="n"/>
      <c r="AS267" s="113" t="n"/>
      <c r="AT267" s="114" t="n"/>
      <c r="AU267" s="81" t="n"/>
      <c r="AV267" s="114" t="n"/>
      <c r="AW267" s="114" t="n"/>
      <c r="AX267" s="81" t="n"/>
      <c r="AY267" s="113" t="n"/>
      <c r="AZ267" s="115">
        <f>IF($B267="","",COUNTIF(References!$A$4:$A$503,$A267))</f>
        <v/>
      </c>
      <c r="BA267" s="115">
        <f>IF($B267="","",(LEN(A267)=0)+(LEN(B267)=0)+(LEN(D267)=0)+(LEN(G267)=0)+(LEN(H267)=0)+(LEN(I267)=0)+(LEN(J267)=0)+(LEN(L267)=0)+(LEN(M267)=0)+(LEN(O267)=0)+(LEN(R267)=0)+(LEN(X267)=0)+(LEN(AI267)=0)+(LEN(AJ267)=0)+(LEN(AQ267)=0)+(LEN(AR267)=0)+(LEN(AT267)=0)+(LEN(AU267)=0)+(LEN(AV267)=0)+(LEN(AX267)=0))</f>
        <v/>
      </c>
      <c r="BB267" s="115">
        <f>IF($B267="","",IF(AND(BA267=0,AZ267&gt;=1),"Complete","Incomplete"))</f>
        <v/>
      </c>
    </row>
    <row r="268" ht="15" customHeight="1" s="62">
      <c r="A268" s="81" t="n"/>
      <c r="B268" s="113" t="n"/>
      <c r="C268" s="81" t="n"/>
      <c r="D268" s="81" t="n"/>
      <c r="E268" s="81" t="n"/>
      <c r="F268" s="81" t="n"/>
      <c r="G268" s="81" t="n"/>
      <c r="H268" s="81" t="n"/>
      <c r="I268" s="81" t="n"/>
      <c r="J268" s="81" t="n"/>
      <c r="K268" s="81" t="n"/>
      <c r="L268" s="113" t="n"/>
      <c r="M268" s="81" t="n"/>
      <c r="N268" s="81" t="n"/>
      <c r="O268" s="81" t="n"/>
      <c r="P268" s="81" t="n"/>
      <c r="Q268" s="113" t="n"/>
      <c r="R268" s="113" t="n"/>
      <c r="S268" s="113" t="n"/>
      <c r="T268" s="81" t="n"/>
      <c r="U268" s="81" t="n"/>
      <c r="V268" s="113" t="n"/>
      <c r="W268" s="81" t="n"/>
      <c r="X268" s="81" t="n"/>
      <c r="Y268" s="81" t="n"/>
      <c r="Z268" s="81" t="n"/>
      <c r="AA268" s="81" t="n"/>
      <c r="AB268" s="81" t="n"/>
      <c r="AC268" s="81" t="n"/>
      <c r="AD268" s="81" t="n"/>
      <c r="AE268" s="81" t="n"/>
      <c r="AF268" s="81" t="n"/>
      <c r="AG268" s="81" t="n"/>
      <c r="AH268" s="113" t="n"/>
      <c r="AI268" s="81" t="n"/>
      <c r="AJ268" s="81" t="n"/>
      <c r="AK268" s="113" t="n"/>
      <c r="AL268" s="81" t="n"/>
      <c r="AM268" s="81" t="n"/>
      <c r="AN268" s="81" t="n"/>
      <c r="AO268" s="113" t="n"/>
      <c r="AP268" s="113" t="n"/>
      <c r="AQ268" s="81" t="n"/>
      <c r="AR268" s="113" t="n"/>
      <c r="AS268" s="113" t="n"/>
      <c r="AT268" s="114" t="n"/>
      <c r="AU268" s="81" t="n"/>
      <c r="AV268" s="114" t="n"/>
      <c r="AW268" s="114" t="n"/>
      <c r="AX268" s="81" t="n"/>
      <c r="AY268" s="113" t="n"/>
      <c r="AZ268" s="115">
        <f>IF($B268="","",COUNTIF(References!$A$4:$A$503,$A268))</f>
        <v/>
      </c>
      <c r="BA268" s="115">
        <f>IF($B268="","",(LEN(A268)=0)+(LEN(B268)=0)+(LEN(D268)=0)+(LEN(G268)=0)+(LEN(H268)=0)+(LEN(I268)=0)+(LEN(J268)=0)+(LEN(L268)=0)+(LEN(M268)=0)+(LEN(O268)=0)+(LEN(R268)=0)+(LEN(X268)=0)+(LEN(AI268)=0)+(LEN(AJ268)=0)+(LEN(AQ268)=0)+(LEN(AR268)=0)+(LEN(AT268)=0)+(LEN(AU268)=0)+(LEN(AV268)=0)+(LEN(AX268)=0))</f>
        <v/>
      </c>
      <c r="BB268" s="115">
        <f>IF($B268="","",IF(AND(BA268=0,AZ268&gt;=1),"Complete","Incomplete"))</f>
        <v/>
      </c>
    </row>
    <row r="269" ht="15" customHeight="1" s="62">
      <c r="A269" s="81" t="n"/>
      <c r="B269" s="113" t="n"/>
      <c r="C269" s="81" t="n"/>
      <c r="D269" s="81" t="n"/>
      <c r="E269" s="81" t="n"/>
      <c r="F269" s="81" t="n"/>
      <c r="G269" s="81" t="n"/>
      <c r="H269" s="81" t="n"/>
      <c r="I269" s="81" t="n"/>
      <c r="J269" s="81" t="n"/>
      <c r="K269" s="81" t="n"/>
      <c r="L269" s="113" t="n"/>
      <c r="M269" s="81" t="n"/>
      <c r="N269" s="81" t="n"/>
      <c r="O269" s="81" t="n"/>
      <c r="P269" s="81" t="n"/>
      <c r="Q269" s="113" t="n"/>
      <c r="R269" s="113" t="n"/>
      <c r="S269" s="113" t="n"/>
      <c r="T269" s="81" t="n"/>
      <c r="U269" s="81" t="n"/>
      <c r="V269" s="113" t="n"/>
      <c r="W269" s="81" t="n"/>
      <c r="X269" s="81" t="n"/>
      <c r="Y269" s="81" t="n"/>
      <c r="Z269" s="81" t="n"/>
      <c r="AA269" s="81" t="n"/>
      <c r="AB269" s="81" t="n"/>
      <c r="AC269" s="81" t="n"/>
      <c r="AD269" s="81" t="n"/>
      <c r="AE269" s="81" t="n"/>
      <c r="AF269" s="81" t="n"/>
      <c r="AG269" s="81" t="n"/>
      <c r="AH269" s="113" t="n"/>
      <c r="AI269" s="81" t="n"/>
      <c r="AJ269" s="81" t="n"/>
      <c r="AK269" s="113" t="n"/>
      <c r="AL269" s="81" t="n"/>
      <c r="AM269" s="81" t="n"/>
      <c r="AN269" s="81" t="n"/>
      <c r="AO269" s="113" t="n"/>
      <c r="AP269" s="113" t="n"/>
      <c r="AQ269" s="81" t="n"/>
      <c r="AR269" s="113" t="n"/>
      <c r="AS269" s="113" t="n"/>
      <c r="AT269" s="114" t="n"/>
      <c r="AU269" s="81" t="n"/>
      <c r="AV269" s="114" t="n"/>
      <c r="AW269" s="114" t="n"/>
      <c r="AX269" s="81" t="n"/>
      <c r="AY269" s="113" t="n"/>
      <c r="AZ269" s="115">
        <f>IF($B269="","",COUNTIF(References!$A$4:$A$503,$A269))</f>
        <v/>
      </c>
      <c r="BA269" s="115">
        <f>IF($B269="","",(LEN(A269)=0)+(LEN(B269)=0)+(LEN(D269)=0)+(LEN(G269)=0)+(LEN(H269)=0)+(LEN(I269)=0)+(LEN(J269)=0)+(LEN(L269)=0)+(LEN(M269)=0)+(LEN(O269)=0)+(LEN(R269)=0)+(LEN(X269)=0)+(LEN(AI269)=0)+(LEN(AJ269)=0)+(LEN(AQ269)=0)+(LEN(AR269)=0)+(LEN(AT269)=0)+(LEN(AU269)=0)+(LEN(AV269)=0)+(LEN(AX269)=0))</f>
        <v/>
      </c>
      <c r="BB269" s="115">
        <f>IF($B269="","",IF(AND(BA269=0,AZ269&gt;=1),"Complete","Incomplete"))</f>
        <v/>
      </c>
    </row>
    <row r="270" ht="15" customHeight="1" s="62">
      <c r="A270" s="81" t="n"/>
      <c r="B270" s="113" t="n"/>
      <c r="C270" s="81" t="n"/>
      <c r="D270" s="81" t="n"/>
      <c r="E270" s="81" t="n"/>
      <c r="F270" s="81" t="n"/>
      <c r="G270" s="81" t="n"/>
      <c r="H270" s="81" t="n"/>
      <c r="I270" s="81" t="n"/>
      <c r="J270" s="81" t="n"/>
      <c r="K270" s="81" t="n"/>
      <c r="L270" s="113" t="n"/>
      <c r="M270" s="81" t="n"/>
      <c r="N270" s="81" t="n"/>
      <c r="O270" s="81" t="n"/>
      <c r="P270" s="81" t="n"/>
      <c r="Q270" s="113" t="n"/>
      <c r="R270" s="113" t="n"/>
      <c r="S270" s="113" t="n"/>
      <c r="T270" s="81" t="n"/>
      <c r="U270" s="81" t="n"/>
      <c r="V270" s="113" t="n"/>
      <c r="W270" s="81" t="n"/>
      <c r="X270" s="81" t="n"/>
      <c r="Y270" s="81" t="n"/>
      <c r="Z270" s="81" t="n"/>
      <c r="AA270" s="81" t="n"/>
      <c r="AB270" s="81" t="n"/>
      <c r="AC270" s="81" t="n"/>
      <c r="AD270" s="81" t="n"/>
      <c r="AE270" s="81" t="n"/>
      <c r="AF270" s="81" t="n"/>
      <c r="AG270" s="81" t="n"/>
      <c r="AH270" s="113" t="n"/>
      <c r="AI270" s="81" t="n"/>
      <c r="AJ270" s="81" t="n"/>
      <c r="AK270" s="113" t="n"/>
      <c r="AL270" s="81" t="n"/>
      <c r="AM270" s="81" t="n"/>
      <c r="AN270" s="81" t="n"/>
      <c r="AO270" s="113" t="n"/>
      <c r="AP270" s="113" t="n"/>
      <c r="AQ270" s="81" t="n"/>
      <c r="AR270" s="113" t="n"/>
      <c r="AS270" s="113" t="n"/>
      <c r="AT270" s="114" t="n"/>
      <c r="AU270" s="81" t="n"/>
      <c r="AV270" s="114" t="n"/>
      <c r="AW270" s="114" t="n"/>
      <c r="AX270" s="81" t="n"/>
      <c r="AY270" s="113" t="n"/>
      <c r="AZ270" s="115">
        <f>IF($B270="","",COUNTIF(References!$A$4:$A$503,$A270))</f>
        <v/>
      </c>
      <c r="BA270" s="115">
        <f>IF($B270="","",(LEN(A270)=0)+(LEN(B270)=0)+(LEN(D270)=0)+(LEN(G270)=0)+(LEN(H270)=0)+(LEN(I270)=0)+(LEN(J270)=0)+(LEN(L270)=0)+(LEN(M270)=0)+(LEN(O270)=0)+(LEN(R270)=0)+(LEN(X270)=0)+(LEN(AI270)=0)+(LEN(AJ270)=0)+(LEN(AQ270)=0)+(LEN(AR270)=0)+(LEN(AT270)=0)+(LEN(AU270)=0)+(LEN(AV270)=0)+(LEN(AX270)=0))</f>
        <v/>
      </c>
      <c r="BB270" s="115">
        <f>IF($B270="","",IF(AND(BA270=0,AZ270&gt;=1),"Complete","Incomplete"))</f>
        <v/>
      </c>
    </row>
    <row r="271" ht="15" customHeight="1" s="62">
      <c r="A271" s="81" t="n"/>
      <c r="B271" s="113" t="n"/>
      <c r="C271" s="81" t="n"/>
      <c r="D271" s="81" t="n"/>
      <c r="E271" s="81" t="n"/>
      <c r="F271" s="81" t="n"/>
      <c r="G271" s="81" t="n"/>
      <c r="H271" s="81" t="n"/>
      <c r="I271" s="81" t="n"/>
      <c r="J271" s="81" t="n"/>
      <c r="K271" s="81" t="n"/>
      <c r="L271" s="113" t="n"/>
      <c r="M271" s="81" t="n"/>
      <c r="N271" s="81" t="n"/>
      <c r="O271" s="81" t="n"/>
      <c r="P271" s="81" t="n"/>
      <c r="Q271" s="113" t="n"/>
      <c r="R271" s="113" t="n"/>
      <c r="S271" s="113" t="n"/>
      <c r="T271" s="81" t="n"/>
      <c r="U271" s="81" t="n"/>
      <c r="V271" s="113" t="n"/>
      <c r="W271" s="81" t="n"/>
      <c r="X271" s="81" t="n"/>
      <c r="Y271" s="81" t="n"/>
      <c r="Z271" s="81" t="n"/>
      <c r="AA271" s="81" t="n"/>
      <c r="AB271" s="81" t="n"/>
      <c r="AC271" s="81" t="n"/>
      <c r="AD271" s="81" t="n"/>
      <c r="AE271" s="81" t="n"/>
      <c r="AF271" s="81" t="n"/>
      <c r="AG271" s="81" t="n"/>
      <c r="AH271" s="113" t="n"/>
      <c r="AI271" s="81" t="n"/>
      <c r="AJ271" s="81" t="n"/>
      <c r="AK271" s="113" t="n"/>
      <c r="AL271" s="81" t="n"/>
      <c r="AM271" s="81" t="n"/>
      <c r="AN271" s="81" t="n"/>
      <c r="AO271" s="113" t="n"/>
      <c r="AP271" s="113" t="n"/>
      <c r="AQ271" s="81" t="n"/>
      <c r="AR271" s="113" t="n"/>
      <c r="AS271" s="113" t="n"/>
      <c r="AT271" s="114" t="n"/>
      <c r="AU271" s="81" t="n"/>
      <c r="AV271" s="114" t="n"/>
      <c r="AW271" s="114" t="n"/>
      <c r="AX271" s="81" t="n"/>
      <c r="AY271" s="113" t="n"/>
      <c r="AZ271" s="115">
        <f>IF($B271="","",COUNTIF(References!$A$4:$A$503,$A271))</f>
        <v/>
      </c>
      <c r="BA271" s="115">
        <f>IF($B271="","",(LEN(A271)=0)+(LEN(B271)=0)+(LEN(D271)=0)+(LEN(G271)=0)+(LEN(H271)=0)+(LEN(I271)=0)+(LEN(J271)=0)+(LEN(L271)=0)+(LEN(M271)=0)+(LEN(O271)=0)+(LEN(R271)=0)+(LEN(X271)=0)+(LEN(AI271)=0)+(LEN(AJ271)=0)+(LEN(AQ271)=0)+(LEN(AR271)=0)+(LEN(AT271)=0)+(LEN(AU271)=0)+(LEN(AV271)=0)+(LEN(AX271)=0))</f>
        <v/>
      </c>
      <c r="BB271" s="115">
        <f>IF($B271="","",IF(AND(BA271=0,AZ271&gt;=1),"Complete","Incomplete"))</f>
        <v/>
      </c>
    </row>
    <row r="272" ht="15" customHeight="1" s="62">
      <c r="A272" s="81" t="n"/>
      <c r="B272" s="113" t="n"/>
      <c r="C272" s="81" t="n"/>
      <c r="D272" s="81" t="n"/>
      <c r="E272" s="81" t="n"/>
      <c r="F272" s="81" t="n"/>
      <c r="G272" s="81" t="n"/>
      <c r="H272" s="81" t="n"/>
      <c r="I272" s="81" t="n"/>
      <c r="J272" s="81" t="n"/>
      <c r="K272" s="81" t="n"/>
      <c r="L272" s="113" t="n"/>
      <c r="M272" s="81" t="n"/>
      <c r="N272" s="81" t="n"/>
      <c r="O272" s="81" t="n"/>
      <c r="P272" s="81" t="n"/>
      <c r="Q272" s="113" t="n"/>
      <c r="R272" s="113" t="n"/>
      <c r="S272" s="113" t="n"/>
      <c r="T272" s="81" t="n"/>
      <c r="U272" s="81" t="n"/>
      <c r="V272" s="113" t="n"/>
      <c r="W272" s="81" t="n"/>
      <c r="X272" s="81" t="n"/>
      <c r="Y272" s="81" t="n"/>
      <c r="Z272" s="81" t="n"/>
      <c r="AA272" s="81" t="n"/>
      <c r="AB272" s="81" t="n"/>
      <c r="AC272" s="81" t="n"/>
      <c r="AD272" s="81" t="n"/>
      <c r="AE272" s="81" t="n"/>
      <c r="AF272" s="81" t="n"/>
      <c r="AG272" s="81" t="n"/>
      <c r="AH272" s="113" t="n"/>
      <c r="AI272" s="81" t="n"/>
      <c r="AJ272" s="81" t="n"/>
      <c r="AK272" s="113" t="n"/>
      <c r="AL272" s="81" t="n"/>
      <c r="AM272" s="81" t="n"/>
      <c r="AN272" s="81" t="n"/>
      <c r="AO272" s="113" t="n"/>
      <c r="AP272" s="113" t="n"/>
      <c r="AQ272" s="81" t="n"/>
      <c r="AR272" s="113" t="n"/>
      <c r="AS272" s="113" t="n"/>
      <c r="AT272" s="114" t="n"/>
      <c r="AU272" s="81" t="n"/>
      <c r="AV272" s="114" t="n"/>
      <c r="AW272" s="114" t="n"/>
      <c r="AX272" s="81" t="n"/>
      <c r="AY272" s="113" t="n"/>
      <c r="AZ272" s="115">
        <f>IF($B272="","",COUNTIF(References!$A$4:$A$503,$A272))</f>
        <v/>
      </c>
      <c r="BA272" s="115">
        <f>IF($B272="","",(LEN(A272)=0)+(LEN(B272)=0)+(LEN(D272)=0)+(LEN(G272)=0)+(LEN(H272)=0)+(LEN(I272)=0)+(LEN(J272)=0)+(LEN(L272)=0)+(LEN(M272)=0)+(LEN(O272)=0)+(LEN(R272)=0)+(LEN(X272)=0)+(LEN(AI272)=0)+(LEN(AJ272)=0)+(LEN(AQ272)=0)+(LEN(AR272)=0)+(LEN(AT272)=0)+(LEN(AU272)=0)+(LEN(AV272)=0)+(LEN(AX272)=0))</f>
        <v/>
      </c>
      <c r="BB272" s="115">
        <f>IF($B272="","",IF(AND(BA272=0,AZ272&gt;=1),"Complete","Incomplete"))</f>
        <v/>
      </c>
    </row>
    <row r="273" ht="15" customHeight="1" s="62">
      <c r="A273" s="81" t="n"/>
      <c r="B273" s="113" t="n"/>
      <c r="C273" s="81" t="n"/>
      <c r="D273" s="81" t="n"/>
      <c r="E273" s="81" t="n"/>
      <c r="F273" s="81" t="n"/>
      <c r="G273" s="81" t="n"/>
      <c r="H273" s="81" t="n"/>
      <c r="I273" s="81" t="n"/>
      <c r="J273" s="81" t="n"/>
      <c r="K273" s="81" t="n"/>
      <c r="L273" s="113" t="n"/>
      <c r="M273" s="81" t="n"/>
      <c r="N273" s="81" t="n"/>
      <c r="O273" s="81" t="n"/>
      <c r="P273" s="81" t="n"/>
      <c r="Q273" s="113" t="n"/>
      <c r="R273" s="113" t="n"/>
      <c r="S273" s="113" t="n"/>
      <c r="T273" s="81" t="n"/>
      <c r="U273" s="81" t="n"/>
      <c r="V273" s="113" t="n"/>
      <c r="W273" s="81" t="n"/>
      <c r="X273" s="81" t="n"/>
      <c r="Y273" s="81" t="n"/>
      <c r="Z273" s="81" t="n"/>
      <c r="AA273" s="81" t="n"/>
      <c r="AB273" s="81" t="n"/>
      <c r="AC273" s="81" t="n"/>
      <c r="AD273" s="81" t="n"/>
      <c r="AE273" s="81" t="n"/>
      <c r="AF273" s="81" t="n"/>
      <c r="AG273" s="81" t="n"/>
      <c r="AH273" s="113" t="n"/>
      <c r="AI273" s="81" t="n"/>
      <c r="AJ273" s="81" t="n"/>
      <c r="AK273" s="113" t="n"/>
      <c r="AL273" s="81" t="n"/>
      <c r="AM273" s="81" t="n"/>
      <c r="AN273" s="81" t="n"/>
      <c r="AO273" s="113" t="n"/>
      <c r="AP273" s="113" t="n"/>
      <c r="AQ273" s="81" t="n"/>
      <c r="AR273" s="113" t="n"/>
      <c r="AS273" s="113" t="n"/>
      <c r="AT273" s="114" t="n"/>
      <c r="AU273" s="81" t="n"/>
      <c r="AV273" s="114" t="n"/>
      <c r="AW273" s="114" t="n"/>
      <c r="AX273" s="81" t="n"/>
      <c r="AY273" s="113" t="n"/>
      <c r="AZ273" s="115">
        <f>IF($B273="","",COUNTIF(References!$A$4:$A$503,$A273))</f>
        <v/>
      </c>
      <c r="BA273" s="115">
        <f>IF($B273="","",(LEN(A273)=0)+(LEN(B273)=0)+(LEN(D273)=0)+(LEN(G273)=0)+(LEN(H273)=0)+(LEN(I273)=0)+(LEN(J273)=0)+(LEN(L273)=0)+(LEN(M273)=0)+(LEN(O273)=0)+(LEN(R273)=0)+(LEN(X273)=0)+(LEN(AI273)=0)+(LEN(AJ273)=0)+(LEN(AQ273)=0)+(LEN(AR273)=0)+(LEN(AT273)=0)+(LEN(AU273)=0)+(LEN(AV273)=0)+(LEN(AX273)=0))</f>
        <v/>
      </c>
      <c r="BB273" s="115">
        <f>IF($B273="","",IF(AND(BA273=0,AZ273&gt;=1),"Complete","Incomplete"))</f>
        <v/>
      </c>
    </row>
    <row r="274" ht="15" customHeight="1" s="62">
      <c r="A274" s="81" t="n"/>
      <c r="B274" s="113" t="n"/>
      <c r="C274" s="81" t="n"/>
      <c r="D274" s="81" t="n"/>
      <c r="E274" s="81" t="n"/>
      <c r="F274" s="81" t="n"/>
      <c r="G274" s="81" t="n"/>
      <c r="H274" s="81" t="n"/>
      <c r="I274" s="81" t="n"/>
      <c r="J274" s="81" t="n"/>
      <c r="K274" s="81" t="n"/>
      <c r="L274" s="113" t="n"/>
      <c r="M274" s="81" t="n"/>
      <c r="N274" s="81" t="n"/>
      <c r="O274" s="81" t="n"/>
      <c r="P274" s="81" t="n"/>
      <c r="Q274" s="113" t="n"/>
      <c r="R274" s="113" t="n"/>
      <c r="S274" s="113" t="n"/>
      <c r="T274" s="81" t="n"/>
      <c r="U274" s="81" t="n"/>
      <c r="V274" s="113" t="n"/>
      <c r="W274" s="81" t="n"/>
      <c r="X274" s="81" t="n"/>
      <c r="Y274" s="81" t="n"/>
      <c r="Z274" s="81" t="n"/>
      <c r="AA274" s="81" t="n"/>
      <c r="AB274" s="81" t="n"/>
      <c r="AC274" s="81" t="n"/>
      <c r="AD274" s="81" t="n"/>
      <c r="AE274" s="81" t="n"/>
      <c r="AF274" s="81" t="n"/>
      <c r="AG274" s="81" t="n"/>
      <c r="AH274" s="113" t="n"/>
      <c r="AI274" s="81" t="n"/>
      <c r="AJ274" s="81" t="n"/>
      <c r="AK274" s="113" t="n"/>
      <c r="AL274" s="81" t="n"/>
      <c r="AM274" s="81" t="n"/>
      <c r="AN274" s="81" t="n"/>
      <c r="AO274" s="113" t="n"/>
      <c r="AP274" s="113" t="n"/>
      <c r="AQ274" s="81" t="n"/>
      <c r="AR274" s="113" t="n"/>
      <c r="AS274" s="113" t="n"/>
      <c r="AT274" s="114" t="n"/>
      <c r="AU274" s="81" t="n"/>
      <c r="AV274" s="114" t="n"/>
      <c r="AW274" s="114" t="n"/>
      <c r="AX274" s="81" t="n"/>
      <c r="AY274" s="113" t="n"/>
      <c r="AZ274" s="115">
        <f>IF($B274="","",COUNTIF(References!$A$4:$A$503,$A274))</f>
        <v/>
      </c>
      <c r="BA274" s="115">
        <f>IF($B274="","",(LEN(A274)=0)+(LEN(B274)=0)+(LEN(D274)=0)+(LEN(G274)=0)+(LEN(H274)=0)+(LEN(I274)=0)+(LEN(J274)=0)+(LEN(L274)=0)+(LEN(M274)=0)+(LEN(O274)=0)+(LEN(R274)=0)+(LEN(X274)=0)+(LEN(AI274)=0)+(LEN(AJ274)=0)+(LEN(AQ274)=0)+(LEN(AR274)=0)+(LEN(AT274)=0)+(LEN(AU274)=0)+(LEN(AV274)=0)+(LEN(AX274)=0))</f>
        <v/>
      </c>
      <c r="BB274" s="115">
        <f>IF($B274="","",IF(AND(BA274=0,AZ274&gt;=1),"Complete","Incomplete"))</f>
        <v/>
      </c>
    </row>
    <row r="275" ht="15" customHeight="1" s="62">
      <c r="A275" s="81" t="n"/>
      <c r="B275" s="113" t="n"/>
      <c r="C275" s="81" t="n"/>
      <c r="D275" s="81" t="n"/>
      <c r="E275" s="81" t="n"/>
      <c r="F275" s="81" t="n"/>
      <c r="G275" s="81" t="n"/>
      <c r="H275" s="81" t="n"/>
      <c r="I275" s="81" t="n"/>
      <c r="J275" s="81" t="n"/>
      <c r="K275" s="81" t="n"/>
      <c r="L275" s="113" t="n"/>
      <c r="M275" s="81" t="n"/>
      <c r="N275" s="81" t="n"/>
      <c r="O275" s="81" t="n"/>
      <c r="P275" s="81" t="n"/>
      <c r="Q275" s="113" t="n"/>
      <c r="R275" s="113" t="n"/>
      <c r="S275" s="113" t="n"/>
      <c r="T275" s="81" t="n"/>
      <c r="U275" s="81" t="n"/>
      <c r="V275" s="113" t="n"/>
      <c r="W275" s="81" t="n"/>
      <c r="X275" s="81" t="n"/>
      <c r="Y275" s="81" t="n"/>
      <c r="Z275" s="81" t="n"/>
      <c r="AA275" s="81" t="n"/>
      <c r="AB275" s="81" t="n"/>
      <c r="AC275" s="81" t="n"/>
      <c r="AD275" s="81" t="n"/>
      <c r="AE275" s="81" t="n"/>
      <c r="AF275" s="81" t="n"/>
      <c r="AG275" s="81" t="n"/>
      <c r="AH275" s="113" t="n"/>
      <c r="AI275" s="81" t="n"/>
      <c r="AJ275" s="81" t="n"/>
      <c r="AK275" s="113" t="n"/>
      <c r="AL275" s="81" t="n"/>
      <c r="AM275" s="81" t="n"/>
      <c r="AN275" s="81" t="n"/>
      <c r="AO275" s="113" t="n"/>
      <c r="AP275" s="113" t="n"/>
      <c r="AQ275" s="81" t="n"/>
      <c r="AR275" s="113" t="n"/>
      <c r="AS275" s="113" t="n"/>
      <c r="AT275" s="114" t="n"/>
      <c r="AU275" s="81" t="n"/>
      <c r="AV275" s="114" t="n"/>
      <c r="AW275" s="114" t="n"/>
      <c r="AX275" s="81" t="n"/>
      <c r="AY275" s="113" t="n"/>
      <c r="AZ275" s="115">
        <f>IF($B275="","",COUNTIF(References!$A$4:$A$503,$A275))</f>
        <v/>
      </c>
      <c r="BA275" s="115">
        <f>IF($B275="","",(LEN(A275)=0)+(LEN(B275)=0)+(LEN(D275)=0)+(LEN(G275)=0)+(LEN(H275)=0)+(LEN(I275)=0)+(LEN(J275)=0)+(LEN(L275)=0)+(LEN(M275)=0)+(LEN(O275)=0)+(LEN(R275)=0)+(LEN(X275)=0)+(LEN(AI275)=0)+(LEN(AJ275)=0)+(LEN(AQ275)=0)+(LEN(AR275)=0)+(LEN(AT275)=0)+(LEN(AU275)=0)+(LEN(AV275)=0)+(LEN(AX275)=0))</f>
        <v/>
      </c>
      <c r="BB275" s="115">
        <f>IF($B275="","",IF(AND(BA275=0,AZ275&gt;=1),"Complete","Incomplete"))</f>
        <v/>
      </c>
    </row>
    <row r="276" ht="15" customHeight="1" s="62">
      <c r="A276" s="81" t="n"/>
      <c r="B276" s="113" t="n"/>
      <c r="C276" s="81" t="n"/>
      <c r="D276" s="81" t="n"/>
      <c r="E276" s="81" t="n"/>
      <c r="F276" s="81" t="n"/>
      <c r="G276" s="81" t="n"/>
      <c r="H276" s="81" t="n"/>
      <c r="I276" s="81" t="n"/>
      <c r="J276" s="81" t="n"/>
      <c r="K276" s="81" t="n"/>
      <c r="L276" s="113" t="n"/>
      <c r="M276" s="81" t="n"/>
      <c r="N276" s="81" t="n"/>
      <c r="O276" s="81" t="n"/>
      <c r="P276" s="81" t="n"/>
      <c r="Q276" s="113" t="n"/>
      <c r="R276" s="113" t="n"/>
      <c r="S276" s="113" t="n"/>
      <c r="T276" s="81" t="n"/>
      <c r="U276" s="81" t="n"/>
      <c r="V276" s="113" t="n"/>
      <c r="W276" s="81" t="n"/>
      <c r="X276" s="81" t="n"/>
      <c r="Y276" s="81" t="n"/>
      <c r="Z276" s="81" t="n"/>
      <c r="AA276" s="81" t="n"/>
      <c r="AB276" s="81" t="n"/>
      <c r="AC276" s="81" t="n"/>
      <c r="AD276" s="81" t="n"/>
      <c r="AE276" s="81" t="n"/>
      <c r="AF276" s="81" t="n"/>
      <c r="AG276" s="81" t="n"/>
      <c r="AH276" s="113" t="n"/>
      <c r="AI276" s="81" t="n"/>
      <c r="AJ276" s="81" t="n"/>
      <c r="AK276" s="113" t="n"/>
      <c r="AL276" s="81" t="n"/>
      <c r="AM276" s="81" t="n"/>
      <c r="AN276" s="81" t="n"/>
      <c r="AO276" s="113" t="n"/>
      <c r="AP276" s="113" t="n"/>
      <c r="AQ276" s="81" t="n"/>
      <c r="AR276" s="113" t="n"/>
      <c r="AS276" s="113" t="n"/>
      <c r="AT276" s="114" t="n"/>
      <c r="AU276" s="81" t="n"/>
      <c r="AV276" s="114" t="n"/>
      <c r="AW276" s="114" t="n"/>
      <c r="AX276" s="81" t="n"/>
      <c r="AY276" s="113" t="n"/>
      <c r="AZ276" s="115">
        <f>IF($B276="","",COUNTIF(References!$A$4:$A$503,$A276))</f>
        <v/>
      </c>
      <c r="BA276" s="115">
        <f>IF($B276="","",(LEN(A276)=0)+(LEN(B276)=0)+(LEN(D276)=0)+(LEN(G276)=0)+(LEN(H276)=0)+(LEN(I276)=0)+(LEN(J276)=0)+(LEN(L276)=0)+(LEN(M276)=0)+(LEN(O276)=0)+(LEN(R276)=0)+(LEN(X276)=0)+(LEN(AI276)=0)+(LEN(AJ276)=0)+(LEN(AQ276)=0)+(LEN(AR276)=0)+(LEN(AT276)=0)+(LEN(AU276)=0)+(LEN(AV276)=0)+(LEN(AX276)=0))</f>
        <v/>
      </c>
      <c r="BB276" s="115">
        <f>IF($B276="","",IF(AND(BA276=0,AZ276&gt;=1),"Complete","Incomplete"))</f>
        <v/>
      </c>
    </row>
    <row r="277" ht="15" customHeight="1" s="62">
      <c r="A277" s="81" t="n"/>
      <c r="B277" s="113" t="n"/>
      <c r="C277" s="81" t="n"/>
      <c r="D277" s="81" t="n"/>
      <c r="E277" s="81" t="n"/>
      <c r="F277" s="81" t="n"/>
      <c r="G277" s="81" t="n"/>
      <c r="H277" s="81" t="n"/>
      <c r="I277" s="81" t="n"/>
      <c r="J277" s="81" t="n"/>
      <c r="K277" s="81" t="n"/>
      <c r="L277" s="113" t="n"/>
      <c r="M277" s="81" t="n"/>
      <c r="N277" s="81" t="n"/>
      <c r="O277" s="81" t="n"/>
      <c r="P277" s="81" t="n"/>
      <c r="Q277" s="113" t="n"/>
      <c r="R277" s="113" t="n"/>
      <c r="S277" s="113" t="n"/>
      <c r="T277" s="81" t="n"/>
      <c r="U277" s="81" t="n"/>
      <c r="V277" s="113" t="n"/>
      <c r="W277" s="81" t="n"/>
      <c r="X277" s="81" t="n"/>
      <c r="Y277" s="81" t="n"/>
      <c r="Z277" s="81" t="n"/>
      <c r="AA277" s="81" t="n"/>
      <c r="AB277" s="81" t="n"/>
      <c r="AC277" s="81" t="n"/>
      <c r="AD277" s="81" t="n"/>
      <c r="AE277" s="81" t="n"/>
      <c r="AF277" s="81" t="n"/>
      <c r="AG277" s="81" t="n"/>
      <c r="AH277" s="113" t="n"/>
      <c r="AI277" s="81" t="n"/>
      <c r="AJ277" s="81" t="n"/>
      <c r="AK277" s="113" t="n"/>
      <c r="AL277" s="81" t="n"/>
      <c r="AM277" s="81" t="n"/>
      <c r="AN277" s="81" t="n"/>
      <c r="AO277" s="113" t="n"/>
      <c r="AP277" s="113" t="n"/>
      <c r="AQ277" s="81" t="n"/>
      <c r="AR277" s="113" t="n"/>
      <c r="AS277" s="113" t="n"/>
      <c r="AT277" s="114" t="n"/>
      <c r="AU277" s="81" t="n"/>
      <c r="AV277" s="114" t="n"/>
      <c r="AW277" s="114" t="n"/>
      <c r="AX277" s="81" t="n"/>
      <c r="AY277" s="113" t="n"/>
      <c r="AZ277" s="115">
        <f>IF($B277="","",COUNTIF(References!$A$4:$A$503,$A277))</f>
        <v/>
      </c>
      <c r="BA277" s="115">
        <f>IF($B277="","",(LEN(A277)=0)+(LEN(B277)=0)+(LEN(D277)=0)+(LEN(G277)=0)+(LEN(H277)=0)+(LEN(I277)=0)+(LEN(J277)=0)+(LEN(L277)=0)+(LEN(M277)=0)+(LEN(O277)=0)+(LEN(R277)=0)+(LEN(X277)=0)+(LEN(AI277)=0)+(LEN(AJ277)=0)+(LEN(AQ277)=0)+(LEN(AR277)=0)+(LEN(AT277)=0)+(LEN(AU277)=0)+(LEN(AV277)=0)+(LEN(AX277)=0))</f>
        <v/>
      </c>
      <c r="BB277" s="115">
        <f>IF($B277="","",IF(AND(BA277=0,AZ277&gt;=1),"Complete","Incomplete"))</f>
        <v/>
      </c>
    </row>
    <row r="278" ht="15" customHeight="1" s="62">
      <c r="A278" s="81" t="n"/>
      <c r="B278" s="113" t="n"/>
      <c r="C278" s="81" t="n"/>
      <c r="D278" s="81" t="n"/>
      <c r="E278" s="81" t="n"/>
      <c r="F278" s="81" t="n"/>
      <c r="G278" s="81" t="n"/>
      <c r="H278" s="81" t="n"/>
      <c r="I278" s="81" t="n"/>
      <c r="J278" s="81" t="n"/>
      <c r="K278" s="81" t="n"/>
      <c r="L278" s="113" t="n"/>
      <c r="M278" s="81" t="n"/>
      <c r="N278" s="81" t="n"/>
      <c r="O278" s="81" t="n"/>
      <c r="P278" s="81" t="n"/>
      <c r="Q278" s="113" t="n"/>
      <c r="R278" s="113" t="n"/>
      <c r="S278" s="113" t="n"/>
      <c r="T278" s="81" t="n"/>
      <c r="U278" s="81" t="n"/>
      <c r="V278" s="113" t="n"/>
      <c r="W278" s="81" t="n"/>
      <c r="X278" s="81" t="n"/>
      <c r="Y278" s="81" t="n"/>
      <c r="Z278" s="81" t="n"/>
      <c r="AA278" s="81" t="n"/>
      <c r="AB278" s="81" t="n"/>
      <c r="AC278" s="81" t="n"/>
      <c r="AD278" s="81" t="n"/>
      <c r="AE278" s="81" t="n"/>
      <c r="AF278" s="81" t="n"/>
      <c r="AG278" s="81" t="n"/>
      <c r="AH278" s="113" t="n"/>
      <c r="AI278" s="81" t="n"/>
      <c r="AJ278" s="81" t="n"/>
      <c r="AK278" s="113" t="n"/>
      <c r="AL278" s="81" t="n"/>
      <c r="AM278" s="81" t="n"/>
      <c r="AN278" s="81" t="n"/>
      <c r="AO278" s="113" t="n"/>
      <c r="AP278" s="113" t="n"/>
      <c r="AQ278" s="81" t="n"/>
      <c r="AR278" s="113" t="n"/>
      <c r="AS278" s="113" t="n"/>
      <c r="AT278" s="114" t="n"/>
      <c r="AU278" s="81" t="n"/>
      <c r="AV278" s="114" t="n"/>
      <c r="AW278" s="114" t="n"/>
      <c r="AX278" s="81" t="n"/>
      <c r="AY278" s="113" t="n"/>
      <c r="AZ278" s="115">
        <f>IF($B278="","",COUNTIF(References!$A$4:$A$503,$A278))</f>
        <v/>
      </c>
      <c r="BA278" s="115">
        <f>IF($B278="","",(LEN(A278)=0)+(LEN(B278)=0)+(LEN(D278)=0)+(LEN(G278)=0)+(LEN(H278)=0)+(LEN(I278)=0)+(LEN(J278)=0)+(LEN(L278)=0)+(LEN(M278)=0)+(LEN(O278)=0)+(LEN(R278)=0)+(LEN(X278)=0)+(LEN(AI278)=0)+(LEN(AJ278)=0)+(LEN(AQ278)=0)+(LEN(AR278)=0)+(LEN(AT278)=0)+(LEN(AU278)=0)+(LEN(AV278)=0)+(LEN(AX278)=0))</f>
        <v/>
      </c>
      <c r="BB278" s="115">
        <f>IF($B278="","",IF(AND(BA278=0,AZ278&gt;=1),"Complete","Incomplete"))</f>
        <v/>
      </c>
    </row>
    <row r="279" ht="15" customHeight="1" s="62">
      <c r="A279" s="81" t="n"/>
      <c r="B279" s="113" t="n"/>
      <c r="C279" s="81" t="n"/>
      <c r="D279" s="81" t="n"/>
      <c r="E279" s="81" t="n"/>
      <c r="F279" s="81" t="n"/>
      <c r="G279" s="81" t="n"/>
      <c r="H279" s="81" t="n"/>
      <c r="I279" s="81" t="n"/>
      <c r="J279" s="81" t="n"/>
      <c r="K279" s="81" t="n"/>
      <c r="L279" s="113" t="n"/>
      <c r="M279" s="81" t="n"/>
      <c r="N279" s="81" t="n"/>
      <c r="O279" s="81" t="n"/>
      <c r="P279" s="81" t="n"/>
      <c r="Q279" s="113" t="n"/>
      <c r="R279" s="113" t="n"/>
      <c r="S279" s="113" t="n"/>
      <c r="T279" s="81" t="n"/>
      <c r="U279" s="81" t="n"/>
      <c r="V279" s="113" t="n"/>
      <c r="W279" s="81" t="n"/>
      <c r="X279" s="81" t="n"/>
      <c r="Y279" s="81" t="n"/>
      <c r="Z279" s="81" t="n"/>
      <c r="AA279" s="81" t="n"/>
      <c r="AB279" s="81" t="n"/>
      <c r="AC279" s="81" t="n"/>
      <c r="AD279" s="81" t="n"/>
      <c r="AE279" s="81" t="n"/>
      <c r="AF279" s="81" t="n"/>
      <c r="AG279" s="81" t="n"/>
      <c r="AH279" s="113" t="n"/>
      <c r="AI279" s="81" t="n"/>
      <c r="AJ279" s="81" t="n"/>
      <c r="AK279" s="113" t="n"/>
      <c r="AL279" s="81" t="n"/>
      <c r="AM279" s="81" t="n"/>
      <c r="AN279" s="81" t="n"/>
      <c r="AO279" s="113" t="n"/>
      <c r="AP279" s="113" t="n"/>
      <c r="AQ279" s="81" t="n"/>
      <c r="AR279" s="113" t="n"/>
      <c r="AS279" s="113" t="n"/>
      <c r="AT279" s="114" t="n"/>
      <c r="AU279" s="81" t="n"/>
      <c r="AV279" s="114" t="n"/>
      <c r="AW279" s="114" t="n"/>
      <c r="AX279" s="81" t="n"/>
      <c r="AY279" s="113" t="n"/>
      <c r="AZ279" s="115">
        <f>IF($B279="","",COUNTIF(References!$A$4:$A$503,$A279))</f>
        <v/>
      </c>
      <c r="BA279" s="115">
        <f>IF($B279="","",(LEN(A279)=0)+(LEN(B279)=0)+(LEN(D279)=0)+(LEN(G279)=0)+(LEN(H279)=0)+(LEN(I279)=0)+(LEN(J279)=0)+(LEN(L279)=0)+(LEN(M279)=0)+(LEN(O279)=0)+(LEN(R279)=0)+(LEN(X279)=0)+(LEN(AI279)=0)+(LEN(AJ279)=0)+(LEN(AQ279)=0)+(LEN(AR279)=0)+(LEN(AT279)=0)+(LEN(AU279)=0)+(LEN(AV279)=0)+(LEN(AX279)=0))</f>
        <v/>
      </c>
      <c r="BB279" s="115">
        <f>IF($B279="","",IF(AND(BA279=0,AZ279&gt;=1),"Complete","Incomplete"))</f>
        <v/>
      </c>
    </row>
    <row r="280" ht="15" customHeight="1" s="62">
      <c r="A280" s="81" t="n"/>
      <c r="B280" s="113" t="n"/>
      <c r="C280" s="81" t="n"/>
      <c r="D280" s="81" t="n"/>
      <c r="E280" s="81" t="n"/>
      <c r="F280" s="81" t="n"/>
      <c r="G280" s="81" t="n"/>
      <c r="H280" s="81" t="n"/>
      <c r="I280" s="81" t="n"/>
      <c r="J280" s="81" t="n"/>
      <c r="K280" s="81" t="n"/>
      <c r="L280" s="113" t="n"/>
      <c r="M280" s="81" t="n"/>
      <c r="N280" s="81" t="n"/>
      <c r="O280" s="81" t="n"/>
      <c r="P280" s="81" t="n"/>
      <c r="Q280" s="113" t="n"/>
      <c r="R280" s="113" t="n"/>
      <c r="S280" s="113" t="n"/>
      <c r="T280" s="81" t="n"/>
      <c r="U280" s="81" t="n"/>
      <c r="V280" s="113" t="n"/>
      <c r="W280" s="81" t="n"/>
      <c r="X280" s="81" t="n"/>
      <c r="Y280" s="81" t="n"/>
      <c r="Z280" s="81" t="n"/>
      <c r="AA280" s="81" t="n"/>
      <c r="AB280" s="81" t="n"/>
      <c r="AC280" s="81" t="n"/>
      <c r="AD280" s="81" t="n"/>
      <c r="AE280" s="81" t="n"/>
      <c r="AF280" s="81" t="n"/>
      <c r="AG280" s="81" t="n"/>
      <c r="AH280" s="113" t="n"/>
      <c r="AI280" s="81" t="n"/>
      <c r="AJ280" s="81" t="n"/>
      <c r="AK280" s="113" t="n"/>
      <c r="AL280" s="81" t="n"/>
      <c r="AM280" s="81" t="n"/>
      <c r="AN280" s="81" t="n"/>
      <c r="AO280" s="113" t="n"/>
      <c r="AP280" s="113" t="n"/>
      <c r="AQ280" s="81" t="n"/>
      <c r="AR280" s="113" t="n"/>
      <c r="AS280" s="113" t="n"/>
      <c r="AT280" s="114" t="n"/>
      <c r="AU280" s="81" t="n"/>
      <c r="AV280" s="114" t="n"/>
      <c r="AW280" s="114" t="n"/>
      <c r="AX280" s="81" t="n"/>
      <c r="AY280" s="113" t="n"/>
      <c r="AZ280" s="115">
        <f>IF($B280="","",COUNTIF(References!$A$4:$A$503,$A280))</f>
        <v/>
      </c>
      <c r="BA280" s="115">
        <f>IF($B280="","",(LEN(A280)=0)+(LEN(B280)=0)+(LEN(D280)=0)+(LEN(G280)=0)+(LEN(H280)=0)+(LEN(I280)=0)+(LEN(J280)=0)+(LEN(L280)=0)+(LEN(M280)=0)+(LEN(O280)=0)+(LEN(R280)=0)+(LEN(X280)=0)+(LEN(AI280)=0)+(LEN(AJ280)=0)+(LEN(AQ280)=0)+(LEN(AR280)=0)+(LEN(AT280)=0)+(LEN(AU280)=0)+(LEN(AV280)=0)+(LEN(AX280)=0))</f>
        <v/>
      </c>
      <c r="BB280" s="115">
        <f>IF($B280="","",IF(AND(BA280=0,AZ280&gt;=1),"Complete","Incomplete"))</f>
        <v/>
      </c>
    </row>
    <row r="281" ht="15" customHeight="1" s="62">
      <c r="A281" s="81" t="n"/>
      <c r="B281" s="113" t="n"/>
      <c r="C281" s="81" t="n"/>
      <c r="D281" s="81" t="n"/>
      <c r="E281" s="81" t="n"/>
      <c r="F281" s="81" t="n"/>
      <c r="G281" s="81" t="n"/>
      <c r="H281" s="81" t="n"/>
      <c r="I281" s="81" t="n"/>
      <c r="J281" s="81" t="n"/>
      <c r="K281" s="81" t="n"/>
      <c r="L281" s="113" t="n"/>
      <c r="M281" s="81" t="n"/>
      <c r="N281" s="81" t="n"/>
      <c r="O281" s="81" t="n"/>
      <c r="P281" s="81" t="n"/>
      <c r="Q281" s="113" t="n"/>
      <c r="R281" s="113" t="n"/>
      <c r="S281" s="113" t="n"/>
      <c r="T281" s="81" t="n"/>
      <c r="U281" s="81" t="n"/>
      <c r="V281" s="113" t="n"/>
      <c r="W281" s="81" t="n"/>
      <c r="X281" s="81" t="n"/>
      <c r="Y281" s="81" t="n"/>
      <c r="Z281" s="81" t="n"/>
      <c r="AA281" s="81" t="n"/>
      <c r="AB281" s="81" t="n"/>
      <c r="AC281" s="81" t="n"/>
      <c r="AD281" s="81" t="n"/>
      <c r="AE281" s="81" t="n"/>
      <c r="AF281" s="81" t="n"/>
      <c r="AG281" s="81" t="n"/>
      <c r="AH281" s="113" t="n"/>
      <c r="AI281" s="81" t="n"/>
      <c r="AJ281" s="81" t="n"/>
      <c r="AK281" s="113" t="n"/>
      <c r="AL281" s="81" t="n"/>
      <c r="AM281" s="81" t="n"/>
      <c r="AN281" s="81" t="n"/>
      <c r="AO281" s="113" t="n"/>
      <c r="AP281" s="113" t="n"/>
      <c r="AQ281" s="81" t="n"/>
      <c r="AR281" s="113" t="n"/>
      <c r="AS281" s="113" t="n"/>
      <c r="AT281" s="114" t="n"/>
      <c r="AU281" s="81" t="n"/>
      <c r="AV281" s="114" t="n"/>
      <c r="AW281" s="114" t="n"/>
      <c r="AX281" s="81" t="n"/>
      <c r="AY281" s="113" t="n"/>
      <c r="AZ281" s="115">
        <f>IF($B281="","",COUNTIF(References!$A$4:$A$503,$A281))</f>
        <v/>
      </c>
      <c r="BA281" s="115">
        <f>IF($B281="","",(LEN(A281)=0)+(LEN(B281)=0)+(LEN(D281)=0)+(LEN(G281)=0)+(LEN(H281)=0)+(LEN(I281)=0)+(LEN(J281)=0)+(LEN(L281)=0)+(LEN(M281)=0)+(LEN(O281)=0)+(LEN(R281)=0)+(LEN(X281)=0)+(LEN(AI281)=0)+(LEN(AJ281)=0)+(LEN(AQ281)=0)+(LEN(AR281)=0)+(LEN(AT281)=0)+(LEN(AU281)=0)+(LEN(AV281)=0)+(LEN(AX281)=0))</f>
        <v/>
      </c>
      <c r="BB281" s="115">
        <f>IF($B281="","",IF(AND(BA281=0,AZ281&gt;=1),"Complete","Incomplete"))</f>
        <v/>
      </c>
    </row>
    <row r="282" ht="15" customHeight="1" s="62">
      <c r="A282" s="81" t="n"/>
      <c r="B282" s="113" t="n"/>
      <c r="C282" s="81" t="n"/>
      <c r="D282" s="81" t="n"/>
      <c r="E282" s="81" t="n"/>
      <c r="F282" s="81" t="n"/>
      <c r="G282" s="81" t="n"/>
      <c r="H282" s="81" t="n"/>
      <c r="I282" s="81" t="n"/>
      <c r="J282" s="81" t="n"/>
      <c r="K282" s="81" t="n"/>
      <c r="L282" s="113" t="n"/>
      <c r="M282" s="81" t="n"/>
      <c r="N282" s="81" t="n"/>
      <c r="O282" s="81" t="n"/>
      <c r="P282" s="81" t="n"/>
      <c r="Q282" s="113" t="n"/>
      <c r="R282" s="113" t="n"/>
      <c r="S282" s="113" t="n"/>
      <c r="T282" s="81" t="n"/>
      <c r="U282" s="81" t="n"/>
      <c r="V282" s="113" t="n"/>
      <c r="W282" s="81" t="n"/>
      <c r="X282" s="81" t="n"/>
      <c r="Y282" s="81" t="n"/>
      <c r="Z282" s="81" t="n"/>
      <c r="AA282" s="81" t="n"/>
      <c r="AB282" s="81" t="n"/>
      <c r="AC282" s="81" t="n"/>
      <c r="AD282" s="81" t="n"/>
      <c r="AE282" s="81" t="n"/>
      <c r="AF282" s="81" t="n"/>
      <c r="AG282" s="81" t="n"/>
      <c r="AH282" s="113" t="n"/>
      <c r="AI282" s="81" t="n"/>
      <c r="AJ282" s="81" t="n"/>
      <c r="AK282" s="113" t="n"/>
      <c r="AL282" s="81" t="n"/>
      <c r="AM282" s="81" t="n"/>
      <c r="AN282" s="81" t="n"/>
      <c r="AO282" s="113" t="n"/>
      <c r="AP282" s="113" t="n"/>
      <c r="AQ282" s="81" t="n"/>
      <c r="AR282" s="113" t="n"/>
      <c r="AS282" s="113" t="n"/>
      <c r="AT282" s="114" t="n"/>
      <c r="AU282" s="81" t="n"/>
      <c r="AV282" s="114" t="n"/>
      <c r="AW282" s="114" t="n"/>
      <c r="AX282" s="81" t="n"/>
      <c r="AY282" s="113" t="n"/>
      <c r="AZ282" s="115">
        <f>IF($B282="","",COUNTIF(References!$A$4:$A$503,$A282))</f>
        <v/>
      </c>
      <c r="BA282" s="115">
        <f>IF($B282="","",(LEN(A282)=0)+(LEN(B282)=0)+(LEN(D282)=0)+(LEN(G282)=0)+(LEN(H282)=0)+(LEN(I282)=0)+(LEN(J282)=0)+(LEN(L282)=0)+(LEN(M282)=0)+(LEN(O282)=0)+(LEN(R282)=0)+(LEN(X282)=0)+(LEN(AI282)=0)+(LEN(AJ282)=0)+(LEN(AQ282)=0)+(LEN(AR282)=0)+(LEN(AT282)=0)+(LEN(AU282)=0)+(LEN(AV282)=0)+(LEN(AX282)=0))</f>
        <v/>
      </c>
      <c r="BB282" s="115">
        <f>IF($B282="","",IF(AND(BA282=0,AZ282&gt;=1),"Complete","Incomplete"))</f>
        <v/>
      </c>
    </row>
    <row r="283" ht="15" customHeight="1" s="62">
      <c r="A283" s="81" t="n"/>
      <c r="B283" s="113" t="n"/>
      <c r="C283" s="81" t="n"/>
      <c r="D283" s="81" t="n"/>
      <c r="E283" s="81" t="n"/>
      <c r="F283" s="81" t="n"/>
      <c r="G283" s="81" t="n"/>
      <c r="H283" s="81" t="n"/>
      <c r="I283" s="81" t="n"/>
      <c r="J283" s="81" t="n"/>
      <c r="K283" s="81" t="n"/>
      <c r="L283" s="113" t="n"/>
      <c r="M283" s="81" t="n"/>
      <c r="N283" s="81" t="n"/>
      <c r="O283" s="81" t="n"/>
      <c r="P283" s="81" t="n"/>
      <c r="Q283" s="113" t="n"/>
      <c r="R283" s="113" t="n"/>
      <c r="S283" s="113" t="n"/>
      <c r="T283" s="81" t="n"/>
      <c r="U283" s="81" t="n"/>
      <c r="V283" s="113" t="n"/>
      <c r="W283" s="81" t="n"/>
      <c r="X283" s="81" t="n"/>
      <c r="Y283" s="81" t="n"/>
      <c r="Z283" s="81" t="n"/>
      <c r="AA283" s="81" t="n"/>
      <c r="AB283" s="81" t="n"/>
      <c r="AC283" s="81" t="n"/>
      <c r="AD283" s="81" t="n"/>
      <c r="AE283" s="81" t="n"/>
      <c r="AF283" s="81" t="n"/>
      <c r="AG283" s="81" t="n"/>
      <c r="AH283" s="113" t="n"/>
      <c r="AI283" s="81" t="n"/>
      <c r="AJ283" s="81" t="n"/>
      <c r="AK283" s="113" t="n"/>
      <c r="AL283" s="81" t="n"/>
      <c r="AM283" s="81" t="n"/>
      <c r="AN283" s="81" t="n"/>
      <c r="AO283" s="113" t="n"/>
      <c r="AP283" s="113" t="n"/>
      <c r="AQ283" s="81" t="n"/>
      <c r="AR283" s="113" t="n"/>
      <c r="AS283" s="113" t="n"/>
      <c r="AT283" s="114" t="n"/>
      <c r="AU283" s="81" t="n"/>
      <c r="AV283" s="114" t="n"/>
      <c r="AW283" s="114" t="n"/>
      <c r="AX283" s="81" t="n"/>
      <c r="AY283" s="113" t="n"/>
      <c r="AZ283" s="115">
        <f>IF($B283="","",COUNTIF(References!$A$4:$A$503,$A283))</f>
        <v/>
      </c>
      <c r="BA283" s="115">
        <f>IF($B283="","",(LEN(A283)=0)+(LEN(B283)=0)+(LEN(D283)=0)+(LEN(G283)=0)+(LEN(H283)=0)+(LEN(I283)=0)+(LEN(J283)=0)+(LEN(L283)=0)+(LEN(M283)=0)+(LEN(O283)=0)+(LEN(R283)=0)+(LEN(X283)=0)+(LEN(AI283)=0)+(LEN(AJ283)=0)+(LEN(AQ283)=0)+(LEN(AR283)=0)+(LEN(AT283)=0)+(LEN(AU283)=0)+(LEN(AV283)=0)+(LEN(AX283)=0))</f>
        <v/>
      </c>
      <c r="BB283" s="115">
        <f>IF($B283="","",IF(AND(BA283=0,AZ283&gt;=1),"Complete","Incomplete"))</f>
        <v/>
      </c>
    </row>
    <row r="284" ht="15" customHeight="1" s="62">
      <c r="A284" s="81" t="n"/>
      <c r="B284" s="113" t="n"/>
      <c r="C284" s="81" t="n"/>
      <c r="D284" s="81" t="n"/>
      <c r="E284" s="81" t="n"/>
      <c r="F284" s="81" t="n"/>
      <c r="G284" s="81" t="n"/>
      <c r="H284" s="81" t="n"/>
      <c r="I284" s="81" t="n"/>
      <c r="J284" s="81" t="n"/>
      <c r="K284" s="81" t="n"/>
      <c r="L284" s="113" t="n"/>
      <c r="M284" s="81" t="n"/>
      <c r="N284" s="81" t="n"/>
      <c r="O284" s="81" t="n"/>
      <c r="P284" s="81" t="n"/>
      <c r="Q284" s="113" t="n"/>
      <c r="R284" s="113" t="n"/>
      <c r="S284" s="113" t="n"/>
      <c r="T284" s="81" t="n"/>
      <c r="U284" s="81" t="n"/>
      <c r="V284" s="113" t="n"/>
      <c r="W284" s="81" t="n"/>
      <c r="X284" s="81" t="n"/>
      <c r="Y284" s="81" t="n"/>
      <c r="Z284" s="81" t="n"/>
      <c r="AA284" s="81" t="n"/>
      <c r="AB284" s="81" t="n"/>
      <c r="AC284" s="81" t="n"/>
      <c r="AD284" s="81" t="n"/>
      <c r="AE284" s="81" t="n"/>
      <c r="AF284" s="81" t="n"/>
      <c r="AG284" s="81" t="n"/>
      <c r="AH284" s="113" t="n"/>
      <c r="AI284" s="81" t="n"/>
      <c r="AJ284" s="81" t="n"/>
      <c r="AK284" s="113" t="n"/>
      <c r="AL284" s="81" t="n"/>
      <c r="AM284" s="81" t="n"/>
      <c r="AN284" s="81" t="n"/>
      <c r="AO284" s="113" t="n"/>
      <c r="AP284" s="113" t="n"/>
      <c r="AQ284" s="81" t="n"/>
      <c r="AR284" s="113" t="n"/>
      <c r="AS284" s="113" t="n"/>
      <c r="AT284" s="114" t="n"/>
      <c r="AU284" s="81" t="n"/>
      <c r="AV284" s="114" t="n"/>
      <c r="AW284" s="114" t="n"/>
      <c r="AX284" s="81" t="n"/>
      <c r="AY284" s="113" t="n"/>
      <c r="AZ284" s="115">
        <f>IF($B284="","",COUNTIF(References!$A$4:$A$503,$A284))</f>
        <v/>
      </c>
      <c r="BA284" s="115">
        <f>IF($B284="","",(LEN(A284)=0)+(LEN(B284)=0)+(LEN(D284)=0)+(LEN(G284)=0)+(LEN(H284)=0)+(LEN(I284)=0)+(LEN(J284)=0)+(LEN(L284)=0)+(LEN(M284)=0)+(LEN(O284)=0)+(LEN(R284)=0)+(LEN(X284)=0)+(LEN(AI284)=0)+(LEN(AJ284)=0)+(LEN(AQ284)=0)+(LEN(AR284)=0)+(LEN(AT284)=0)+(LEN(AU284)=0)+(LEN(AV284)=0)+(LEN(AX284)=0))</f>
        <v/>
      </c>
      <c r="BB284" s="115">
        <f>IF($B284="","",IF(AND(BA284=0,AZ284&gt;=1),"Complete","Incomplete"))</f>
        <v/>
      </c>
    </row>
    <row r="285" ht="15" customHeight="1" s="62">
      <c r="A285" s="81" t="n"/>
      <c r="B285" s="113" t="n"/>
      <c r="C285" s="81" t="n"/>
      <c r="D285" s="81" t="n"/>
      <c r="E285" s="81" t="n"/>
      <c r="F285" s="81" t="n"/>
      <c r="G285" s="81" t="n"/>
      <c r="H285" s="81" t="n"/>
      <c r="I285" s="81" t="n"/>
      <c r="J285" s="81" t="n"/>
      <c r="K285" s="81" t="n"/>
      <c r="L285" s="113" t="n"/>
      <c r="M285" s="81" t="n"/>
      <c r="N285" s="81" t="n"/>
      <c r="O285" s="81" t="n"/>
      <c r="P285" s="81" t="n"/>
      <c r="Q285" s="113" t="n"/>
      <c r="R285" s="113" t="n"/>
      <c r="S285" s="113" t="n"/>
      <c r="T285" s="81" t="n"/>
      <c r="U285" s="81" t="n"/>
      <c r="V285" s="113" t="n"/>
      <c r="W285" s="81" t="n"/>
      <c r="X285" s="81" t="n"/>
      <c r="Y285" s="81" t="n"/>
      <c r="Z285" s="81" t="n"/>
      <c r="AA285" s="81" t="n"/>
      <c r="AB285" s="81" t="n"/>
      <c r="AC285" s="81" t="n"/>
      <c r="AD285" s="81" t="n"/>
      <c r="AE285" s="81" t="n"/>
      <c r="AF285" s="81" t="n"/>
      <c r="AG285" s="81" t="n"/>
      <c r="AH285" s="113" t="n"/>
      <c r="AI285" s="81" t="n"/>
      <c r="AJ285" s="81" t="n"/>
      <c r="AK285" s="113" t="n"/>
      <c r="AL285" s="81" t="n"/>
      <c r="AM285" s="81" t="n"/>
      <c r="AN285" s="81" t="n"/>
      <c r="AO285" s="113" t="n"/>
      <c r="AP285" s="113" t="n"/>
      <c r="AQ285" s="81" t="n"/>
      <c r="AR285" s="113" t="n"/>
      <c r="AS285" s="113" t="n"/>
      <c r="AT285" s="114" t="n"/>
      <c r="AU285" s="81" t="n"/>
      <c r="AV285" s="114" t="n"/>
      <c r="AW285" s="114" t="n"/>
      <c r="AX285" s="81" t="n"/>
      <c r="AY285" s="113" t="n"/>
      <c r="AZ285" s="115">
        <f>IF($B285="","",COUNTIF(References!$A$4:$A$503,$A285))</f>
        <v/>
      </c>
      <c r="BA285" s="115">
        <f>IF($B285="","",(LEN(A285)=0)+(LEN(B285)=0)+(LEN(D285)=0)+(LEN(G285)=0)+(LEN(H285)=0)+(LEN(I285)=0)+(LEN(J285)=0)+(LEN(L285)=0)+(LEN(M285)=0)+(LEN(O285)=0)+(LEN(R285)=0)+(LEN(X285)=0)+(LEN(AI285)=0)+(LEN(AJ285)=0)+(LEN(AQ285)=0)+(LEN(AR285)=0)+(LEN(AT285)=0)+(LEN(AU285)=0)+(LEN(AV285)=0)+(LEN(AX285)=0))</f>
        <v/>
      </c>
      <c r="BB285" s="115">
        <f>IF($B285="","",IF(AND(BA285=0,AZ285&gt;=1),"Complete","Incomplete"))</f>
        <v/>
      </c>
    </row>
    <row r="286" ht="15" customHeight="1" s="62">
      <c r="A286" s="81" t="n"/>
      <c r="B286" s="113" t="n"/>
      <c r="C286" s="81" t="n"/>
      <c r="D286" s="81" t="n"/>
      <c r="E286" s="81" t="n"/>
      <c r="F286" s="81" t="n"/>
      <c r="G286" s="81" t="n"/>
      <c r="H286" s="81" t="n"/>
      <c r="I286" s="81" t="n"/>
      <c r="J286" s="81" t="n"/>
      <c r="K286" s="81" t="n"/>
      <c r="L286" s="113" t="n"/>
      <c r="M286" s="81" t="n"/>
      <c r="N286" s="81" t="n"/>
      <c r="O286" s="81" t="n"/>
      <c r="P286" s="81" t="n"/>
      <c r="Q286" s="113" t="n"/>
      <c r="R286" s="113" t="n"/>
      <c r="S286" s="113" t="n"/>
      <c r="T286" s="81" t="n"/>
      <c r="U286" s="81" t="n"/>
      <c r="V286" s="113" t="n"/>
      <c r="W286" s="81" t="n"/>
      <c r="X286" s="81" t="n"/>
      <c r="Y286" s="81" t="n"/>
      <c r="Z286" s="81" t="n"/>
      <c r="AA286" s="81" t="n"/>
      <c r="AB286" s="81" t="n"/>
      <c r="AC286" s="81" t="n"/>
      <c r="AD286" s="81" t="n"/>
      <c r="AE286" s="81" t="n"/>
      <c r="AF286" s="81" t="n"/>
      <c r="AG286" s="81" t="n"/>
      <c r="AH286" s="113" t="n"/>
      <c r="AI286" s="81" t="n"/>
      <c r="AJ286" s="81" t="n"/>
      <c r="AK286" s="113" t="n"/>
      <c r="AL286" s="81" t="n"/>
      <c r="AM286" s="81" t="n"/>
      <c r="AN286" s="81" t="n"/>
      <c r="AO286" s="113" t="n"/>
      <c r="AP286" s="113" t="n"/>
      <c r="AQ286" s="81" t="n"/>
      <c r="AR286" s="113" t="n"/>
      <c r="AS286" s="113" t="n"/>
      <c r="AT286" s="114" t="n"/>
      <c r="AU286" s="81" t="n"/>
      <c r="AV286" s="114" t="n"/>
      <c r="AW286" s="114" t="n"/>
      <c r="AX286" s="81" t="n"/>
      <c r="AY286" s="113" t="n"/>
      <c r="AZ286" s="115">
        <f>IF($B286="","",COUNTIF(References!$A$4:$A$503,$A286))</f>
        <v/>
      </c>
      <c r="BA286" s="115">
        <f>IF($B286="","",(LEN(A286)=0)+(LEN(B286)=0)+(LEN(D286)=0)+(LEN(G286)=0)+(LEN(H286)=0)+(LEN(I286)=0)+(LEN(J286)=0)+(LEN(L286)=0)+(LEN(M286)=0)+(LEN(O286)=0)+(LEN(R286)=0)+(LEN(X286)=0)+(LEN(AI286)=0)+(LEN(AJ286)=0)+(LEN(AQ286)=0)+(LEN(AR286)=0)+(LEN(AT286)=0)+(LEN(AU286)=0)+(LEN(AV286)=0)+(LEN(AX286)=0))</f>
        <v/>
      </c>
      <c r="BB286" s="115">
        <f>IF($B286="","",IF(AND(BA286=0,AZ286&gt;=1),"Complete","Incomplete"))</f>
        <v/>
      </c>
    </row>
    <row r="287" ht="15" customHeight="1" s="62">
      <c r="A287" s="81" t="n"/>
      <c r="B287" s="113" t="n"/>
      <c r="C287" s="81" t="n"/>
      <c r="D287" s="81" t="n"/>
      <c r="E287" s="81" t="n"/>
      <c r="F287" s="81" t="n"/>
      <c r="G287" s="81" t="n"/>
      <c r="H287" s="81" t="n"/>
      <c r="I287" s="81" t="n"/>
      <c r="J287" s="81" t="n"/>
      <c r="K287" s="81" t="n"/>
      <c r="L287" s="113" t="n"/>
      <c r="M287" s="81" t="n"/>
      <c r="N287" s="81" t="n"/>
      <c r="O287" s="81" t="n"/>
      <c r="P287" s="81" t="n"/>
      <c r="Q287" s="113" t="n"/>
      <c r="R287" s="113" t="n"/>
      <c r="S287" s="113" t="n"/>
      <c r="T287" s="81" t="n"/>
      <c r="U287" s="81" t="n"/>
      <c r="V287" s="113" t="n"/>
      <c r="W287" s="81" t="n"/>
      <c r="X287" s="81" t="n"/>
      <c r="Y287" s="81" t="n"/>
      <c r="Z287" s="81" t="n"/>
      <c r="AA287" s="81" t="n"/>
      <c r="AB287" s="81" t="n"/>
      <c r="AC287" s="81" t="n"/>
      <c r="AD287" s="81" t="n"/>
      <c r="AE287" s="81" t="n"/>
      <c r="AF287" s="81" t="n"/>
      <c r="AG287" s="81" t="n"/>
      <c r="AH287" s="113" t="n"/>
      <c r="AI287" s="81" t="n"/>
      <c r="AJ287" s="81" t="n"/>
      <c r="AK287" s="113" t="n"/>
      <c r="AL287" s="81" t="n"/>
      <c r="AM287" s="81" t="n"/>
      <c r="AN287" s="81" t="n"/>
      <c r="AO287" s="113" t="n"/>
      <c r="AP287" s="113" t="n"/>
      <c r="AQ287" s="81" t="n"/>
      <c r="AR287" s="113" t="n"/>
      <c r="AS287" s="113" t="n"/>
      <c r="AT287" s="114" t="n"/>
      <c r="AU287" s="81" t="n"/>
      <c r="AV287" s="114" t="n"/>
      <c r="AW287" s="114" t="n"/>
      <c r="AX287" s="81" t="n"/>
      <c r="AY287" s="113" t="n"/>
      <c r="AZ287" s="115">
        <f>IF($B287="","",COUNTIF(References!$A$4:$A$503,$A287))</f>
        <v/>
      </c>
      <c r="BA287" s="115">
        <f>IF($B287="","",(LEN(A287)=0)+(LEN(B287)=0)+(LEN(D287)=0)+(LEN(G287)=0)+(LEN(H287)=0)+(LEN(I287)=0)+(LEN(J287)=0)+(LEN(L287)=0)+(LEN(M287)=0)+(LEN(O287)=0)+(LEN(R287)=0)+(LEN(X287)=0)+(LEN(AI287)=0)+(LEN(AJ287)=0)+(LEN(AQ287)=0)+(LEN(AR287)=0)+(LEN(AT287)=0)+(LEN(AU287)=0)+(LEN(AV287)=0)+(LEN(AX287)=0))</f>
        <v/>
      </c>
      <c r="BB287" s="115">
        <f>IF($B287="","",IF(AND(BA287=0,AZ287&gt;=1),"Complete","Incomplete"))</f>
        <v/>
      </c>
    </row>
    <row r="288" ht="15" customHeight="1" s="62">
      <c r="A288" s="81" t="n"/>
      <c r="B288" s="113" t="n"/>
      <c r="C288" s="81" t="n"/>
      <c r="D288" s="81" t="n"/>
      <c r="E288" s="81" t="n"/>
      <c r="F288" s="81" t="n"/>
      <c r="G288" s="81" t="n"/>
      <c r="H288" s="81" t="n"/>
      <c r="I288" s="81" t="n"/>
      <c r="J288" s="81" t="n"/>
      <c r="K288" s="81" t="n"/>
      <c r="L288" s="113" t="n"/>
      <c r="M288" s="81" t="n"/>
      <c r="N288" s="81" t="n"/>
      <c r="O288" s="81" t="n"/>
      <c r="P288" s="81" t="n"/>
      <c r="Q288" s="113" t="n"/>
      <c r="R288" s="113" t="n"/>
      <c r="S288" s="113" t="n"/>
      <c r="T288" s="81" t="n"/>
      <c r="U288" s="81" t="n"/>
      <c r="V288" s="113" t="n"/>
      <c r="W288" s="81" t="n"/>
      <c r="X288" s="81" t="n"/>
      <c r="Y288" s="81" t="n"/>
      <c r="Z288" s="81" t="n"/>
      <c r="AA288" s="81" t="n"/>
      <c r="AB288" s="81" t="n"/>
      <c r="AC288" s="81" t="n"/>
      <c r="AD288" s="81" t="n"/>
      <c r="AE288" s="81" t="n"/>
      <c r="AF288" s="81" t="n"/>
      <c r="AG288" s="81" t="n"/>
      <c r="AH288" s="113" t="n"/>
      <c r="AI288" s="81" t="n"/>
      <c r="AJ288" s="81" t="n"/>
      <c r="AK288" s="113" t="n"/>
      <c r="AL288" s="81" t="n"/>
      <c r="AM288" s="81" t="n"/>
      <c r="AN288" s="81" t="n"/>
      <c r="AO288" s="113" t="n"/>
      <c r="AP288" s="113" t="n"/>
      <c r="AQ288" s="81" t="n"/>
      <c r="AR288" s="113" t="n"/>
      <c r="AS288" s="113" t="n"/>
      <c r="AT288" s="114" t="n"/>
      <c r="AU288" s="81" t="n"/>
      <c r="AV288" s="114" t="n"/>
      <c r="AW288" s="114" t="n"/>
      <c r="AX288" s="81" t="n"/>
      <c r="AY288" s="113" t="n"/>
      <c r="AZ288" s="115">
        <f>IF($B288="","",COUNTIF(References!$A$4:$A$503,$A288))</f>
        <v/>
      </c>
      <c r="BA288" s="115">
        <f>IF($B288="","",(LEN(A288)=0)+(LEN(B288)=0)+(LEN(D288)=0)+(LEN(G288)=0)+(LEN(H288)=0)+(LEN(I288)=0)+(LEN(J288)=0)+(LEN(L288)=0)+(LEN(M288)=0)+(LEN(O288)=0)+(LEN(R288)=0)+(LEN(X288)=0)+(LEN(AI288)=0)+(LEN(AJ288)=0)+(LEN(AQ288)=0)+(LEN(AR288)=0)+(LEN(AT288)=0)+(LEN(AU288)=0)+(LEN(AV288)=0)+(LEN(AX288)=0))</f>
        <v/>
      </c>
      <c r="BB288" s="115">
        <f>IF($B288="","",IF(AND(BA288=0,AZ288&gt;=1),"Complete","Incomplete"))</f>
        <v/>
      </c>
    </row>
    <row r="289" ht="15" customHeight="1" s="62">
      <c r="A289" s="81" t="n"/>
      <c r="B289" s="113" t="n"/>
      <c r="C289" s="81" t="n"/>
      <c r="D289" s="81" t="n"/>
      <c r="E289" s="81" t="n"/>
      <c r="F289" s="81" t="n"/>
      <c r="G289" s="81" t="n"/>
      <c r="H289" s="81" t="n"/>
      <c r="I289" s="81" t="n"/>
      <c r="J289" s="81" t="n"/>
      <c r="K289" s="81" t="n"/>
      <c r="L289" s="113" t="n"/>
      <c r="M289" s="81" t="n"/>
      <c r="N289" s="81" t="n"/>
      <c r="O289" s="81" t="n"/>
      <c r="P289" s="81" t="n"/>
      <c r="Q289" s="113" t="n"/>
      <c r="R289" s="113" t="n"/>
      <c r="S289" s="113" t="n"/>
      <c r="T289" s="81" t="n"/>
      <c r="U289" s="81" t="n"/>
      <c r="V289" s="113" t="n"/>
      <c r="W289" s="81" t="n"/>
      <c r="X289" s="81" t="n"/>
      <c r="Y289" s="81" t="n"/>
      <c r="Z289" s="81" t="n"/>
      <c r="AA289" s="81" t="n"/>
      <c r="AB289" s="81" t="n"/>
      <c r="AC289" s="81" t="n"/>
      <c r="AD289" s="81" t="n"/>
      <c r="AE289" s="81" t="n"/>
      <c r="AF289" s="81" t="n"/>
      <c r="AG289" s="81" t="n"/>
      <c r="AH289" s="113" t="n"/>
      <c r="AI289" s="81" t="n"/>
      <c r="AJ289" s="81" t="n"/>
      <c r="AK289" s="113" t="n"/>
      <c r="AL289" s="81" t="n"/>
      <c r="AM289" s="81" t="n"/>
      <c r="AN289" s="81" t="n"/>
      <c r="AO289" s="113" t="n"/>
      <c r="AP289" s="113" t="n"/>
      <c r="AQ289" s="81" t="n"/>
      <c r="AR289" s="113" t="n"/>
      <c r="AS289" s="113" t="n"/>
      <c r="AT289" s="114" t="n"/>
      <c r="AU289" s="81" t="n"/>
      <c r="AV289" s="114" t="n"/>
      <c r="AW289" s="114" t="n"/>
      <c r="AX289" s="81" t="n"/>
      <c r="AY289" s="113" t="n"/>
      <c r="AZ289" s="115">
        <f>IF($B289="","",COUNTIF(References!$A$4:$A$503,$A289))</f>
        <v/>
      </c>
      <c r="BA289" s="115">
        <f>IF($B289="","",(LEN(A289)=0)+(LEN(B289)=0)+(LEN(D289)=0)+(LEN(G289)=0)+(LEN(H289)=0)+(LEN(I289)=0)+(LEN(J289)=0)+(LEN(L289)=0)+(LEN(M289)=0)+(LEN(O289)=0)+(LEN(R289)=0)+(LEN(X289)=0)+(LEN(AI289)=0)+(LEN(AJ289)=0)+(LEN(AQ289)=0)+(LEN(AR289)=0)+(LEN(AT289)=0)+(LEN(AU289)=0)+(LEN(AV289)=0)+(LEN(AX289)=0))</f>
        <v/>
      </c>
      <c r="BB289" s="115">
        <f>IF($B289="","",IF(AND(BA289=0,AZ289&gt;=1),"Complete","Incomplete"))</f>
        <v/>
      </c>
    </row>
    <row r="290" ht="15" customHeight="1" s="62">
      <c r="A290" s="81" t="n"/>
      <c r="B290" s="113" t="n"/>
      <c r="C290" s="81" t="n"/>
      <c r="D290" s="81" t="n"/>
      <c r="E290" s="81" t="n"/>
      <c r="F290" s="81" t="n"/>
      <c r="G290" s="81" t="n"/>
      <c r="H290" s="81" t="n"/>
      <c r="I290" s="81" t="n"/>
      <c r="J290" s="81" t="n"/>
      <c r="K290" s="81" t="n"/>
      <c r="L290" s="113" t="n"/>
      <c r="M290" s="81" t="n"/>
      <c r="N290" s="81" t="n"/>
      <c r="O290" s="81" t="n"/>
      <c r="P290" s="81" t="n"/>
      <c r="Q290" s="113" t="n"/>
      <c r="R290" s="113" t="n"/>
      <c r="S290" s="113" t="n"/>
      <c r="T290" s="81" t="n"/>
      <c r="U290" s="81" t="n"/>
      <c r="V290" s="113" t="n"/>
      <c r="W290" s="81" t="n"/>
      <c r="X290" s="81" t="n"/>
      <c r="Y290" s="81" t="n"/>
      <c r="Z290" s="81" t="n"/>
      <c r="AA290" s="81" t="n"/>
      <c r="AB290" s="81" t="n"/>
      <c r="AC290" s="81" t="n"/>
      <c r="AD290" s="81" t="n"/>
      <c r="AE290" s="81" t="n"/>
      <c r="AF290" s="81" t="n"/>
      <c r="AG290" s="81" t="n"/>
      <c r="AH290" s="113" t="n"/>
      <c r="AI290" s="81" t="n"/>
      <c r="AJ290" s="81" t="n"/>
      <c r="AK290" s="113" t="n"/>
      <c r="AL290" s="81" t="n"/>
      <c r="AM290" s="81" t="n"/>
      <c r="AN290" s="81" t="n"/>
      <c r="AO290" s="113" t="n"/>
      <c r="AP290" s="113" t="n"/>
      <c r="AQ290" s="81" t="n"/>
      <c r="AR290" s="113" t="n"/>
      <c r="AS290" s="113" t="n"/>
      <c r="AT290" s="114" t="n"/>
      <c r="AU290" s="81" t="n"/>
      <c r="AV290" s="114" t="n"/>
      <c r="AW290" s="114" t="n"/>
      <c r="AX290" s="81" t="n"/>
      <c r="AY290" s="113" t="n"/>
      <c r="AZ290" s="115">
        <f>IF($B290="","",COUNTIF(References!$A$4:$A$503,$A290))</f>
        <v/>
      </c>
      <c r="BA290" s="115">
        <f>IF($B290="","",(LEN(A290)=0)+(LEN(B290)=0)+(LEN(D290)=0)+(LEN(G290)=0)+(LEN(H290)=0)+(LEN(I290)=0)+(LEN(J290)=0)+(LEN(L290)=0)+(LEN(M290)=0)+(LEN(O290)=0)+(LEN(R290)=0)+(LEN(X290)=0)+(LEN(AI290)=0)+(LEN(AJ290)=0)+(LEN(AQ290)=0)+(LEN(AR290)=0)+(LEN(AT290)=0)+(LEN(AU290)=0)+(LEN(AV290)=0)+(LEN(AX290)=0))</f>
        <v/>
      </c>
      <c r="BB290" s="115">
        <f>IF($B290="","",IF(AND(BA290=0,AZ290&gt;=1),"Complete","Incomplete"))</f>
        <v/>
      </c>
    </row>
    <row r="291" ht="15" customHeight="1" s="62">
      <c r="A291" s="81" t="n"/>
      <c r="B291" s="113" t="n"/>
      <c r="C291" s="81" t="n"/>
      <c r="D291" s="81" t="n"/>
      <c r="E291" s="81" t="n"/>
      <c r="F291" s="81" t="n"/>
      <c r="G291" s="81" t="n"/>
      <c r="H291" s="81" t="n"/>
      <c r="I291" s="81" t="n"/>
      <c r="J291" s="81" t="n"/>
      <c r="K291" s="81" t="n"/>
      <c r="L291" s="113" t="n"/>
      <c r="M291" s="81" t="n"/>
      <c r="N291" s="81" t="n"/>
      <c r="O291" s="81" t="n"/>
      <c r="P291" s="81" t="n"/>
      <c r="Q291" s="113" t="n"/>
      <c r="R291" s="113" t="n"/>
      <c r="S291" s="113" t="n"/>
      <c r="T291" s="81" t="n"/>
      <c r="U291" s="81" t="n"/>
      <c r="V291" s="113" t="n"/>
      <c r="W291" s="81" t="n"/>
      <c r="X291" s="81" t="n"/>
      <c r="Y291" s="81" t="n"/>
      <c r="Z291" s="81" t="n"/>
      <c r="AA291" s="81" t="n"/>
      <c r="AB291" s="81" t="n"/>
      <c r="AC291" s="81" t="n"/>
      <c r="AD291" s="81" t="n"/>
      <c r="AE291" s="81" t="n"/>
      <c r="AF291" s="81" t="n"/>
      <c r="AG291" s="81" t="n"/>
      <c r="AH291" s="113" t="n"/>
      <c r="AI291" s="81" t="n"/>
      <c r="AJ291" s="81" t="n"/>
      <c r="AK291" s="113" t="n"/>
      <c r="AL291" s="81" t="n"/>
      <c r="AM291" s="81" t="n"/>
      <c r="AN291" s="81" t="n"/>
      <c r="AO291" s="113" t="n"/>
      <c r="AP291" s="113" t="n"/>
      <c r="AQ291" s="81" t="n"/>
      <c r="AR291" s="113" t="n"/>
      <c r="AS291" s="113" t="n"/>
      <c r="AT291" s="114" t="n"/>
      <c r="AU291" s="81" t="n"/>
      <c r="AV291" s="114" t="n"/>
      <c r="AW291" s="114" t="n"/>
      <c r="AX291" s="81" t="n"/>
      <c r="AY291" s="113" t="n"/>
      <c r="AZ291" s="115">
        <f>IF($B291="","",COUNTIF(References!$A$4:$A$503,$A291))</f>
        <v/>
      </c>
      <c r="BA291" s="115">
        <f>IF($B291="","",(LEN(A291)=0)+(LEN(B291)=0)+(LEN(D291)=0)+(LEN(G291)=0)+(LEN(H291)=0)+(LEN(I291)=0)+(LEN(J291)=0)+(LEN(L291)=0)+(LEN(M291)=0)+(LEN(O291)=0)+(LEN(R291)=0)+(LEN(X291)=0)+(LEN(AI291)=0)+(LEN(AJ291)=0)+(LEN(AQ291)=0)+(LEN(AR291)=0)+(LEN(AT291)=0)+(LEN(AU291)=0)+(LEN(AV291)=0)+(LEN(AX291)=0))</f>
        <v/>
      </c>
      <c r="BB291" s="115">
        <f>IF($B291="","",IF(AND(BA291=0,AZ291&gt;=1),"Complete","Incomplete"))</f>
        <v/>
      </c>
    </row>
    <row r="292" ht="15" customHeight="1" s="62">
      <c r="A292" s="81" t="n"/>
      <c r="B292" s="113" t="n"/>
      <c r="C292" s="81" t="n"/>
      <c r="D292" s="81" t="n"/>
      <c r="E292" s="81" t="n"/>
      <c r="F292" s="81" t="n"/>
      <c r="G292" s="81" t="n"/>
      <c r="H292" s="81" t="n"/>
      <c r="I292" s="81" t="n"/>
      <c r="J292" s="81" t="n"/>
      <c r="K292" s="81" t="n"/>
      <c r="L292" s="113" t="n"/>
      <c r="M292" s="81" t="n"/>
      <c r="N292" s="81" t="n"/>
      <c r="O292" s="81" t="n"/>
      <c r="P292" s="81" t="n"/>
      <c r="Q292" s="113" t="n"/>
      <c r="R292" s="113" t="n"/>
      <c r="S292" s="113" t="n"/>
      <c r="T292" s="81" t="n"/>
      <c r="U292" s="81" t="n"/>
      <c r="V292" s="113" t="n"/>
      <c r="W292" s="81" t="n"/>
      <c r="X292" s="81" t="n"/>
      <c r="Y292" s="81" t="n"/>
      <c r="Z292" s="81" t="n"/>
      <c r="AA292" s="81" t="n"/>
      <c r="AB292" s="81" t="n"/>
      <c r="AC292" s="81" t="n"/>
      <c r="AD292" s="81" t="n"/>
      <c r="AE292" s="81" t="n"/>
      <c r="AF292" s="81" t="n"/>
      <c r="AG292" s="81" t="n"/>
      <c r="AH292" s="113" t="n"/>
      <c r="AI292" s="81" t="n"/>
      <c r="AJ292" s="81" t="n"/>
      <c r="AK292" s="113" t="n"/>
      <c r="AL292" s="81" t="n"/>
      <c r="AM292" s="81" t="n"/>
      <c r="AN292" s="81" t="n"/>
      <c r="AO292" s="113" t="n"/>
      <c r="AP292" s="113" t="n"/>
      <c r="AQ292" s="81" t="n"/>
      <c r="AR292" s="113" t="n"/>
      <c r="AS292" s="113" t="n"/>
      <c r="AT292" s="114" t="n"/>
      <c r="AU292" s="81" t="n"/>
      <c r="AV292" s="114" t="n"/>
      <c r="AW292" s="114" t="n"/>
      <c r="AX292" s="81" t="n"/>
      <c r="AY292" s="113" t="n"/>
      <c r="AZ292" s="115">
        <f>IF($B292="","",COUNTIF(References!$A$4:$A$503,$A292))</f>
        <v/>
      </c>
      <c r="BA292" s="115">
        <f>IF($B292="","",(LEN(A292)=0)+(LEN(B292)=0)+(LEN(D292)=0)+(LEN(G292)=0)+(LEN(H292)=0)+(LEN(I292)=0)+(LEN(J292)=0)+(LEN(L292)=0)+(LEN(M292)=0)+(LEN(O292)=0)+(LEN(R292)=0)+(LEN(X292)=0)+(LEN(AI292)=0)+(LEN(AJ292)=0)+(LEN(AQ292)=0)+(LEN(AR292)=0)+(LEN(AT292)=0)+(LEN(AU292)=0)+(LEN(AV292)=0)+(LEN(AX292)=0))</f>
        <v/>
      </c>
      <c r="BB292" s="115">
        <f>IF($B292="","",IF(AND(BA292=0,AZ292&gt;=1),"Complete","Incomplete"))</f>
        <v/>
      </c>
    </row>
    <row r="293" ht="15" customHeight="1" s="62">
      <c r="A293" s="81" t="n"/>
      <c r="B293" s="113" t="n"/>
      <c r="C293" s="81" t="n"/>
      <c r="D293" s="81" t="n"/>
      <c r="E293" s="81" t="n"/>
      <c r="F293" s="81" t="n"/>
      <c r="G293" s="81" t="n"/>
      <c r="H293" s="81" t="n"/>
      <c r="I293" s="81" t="n"/>
      <c r="J293" s="81" t="n"/>
      <c r="K293" s="81" t="n"/>
      <c r="L293" s="113" t="n"/>
      <c r="M293" s="81" t="n"/>
      <c r="N293" s="81" t="n"/>
      <c r="O293" s="81" t="n"/>
      <c r="P293" s="81" t="n"/>
      <c r="Q293" s="113" t="n"/>
      <c r="R293" s="113" t="n"/>
      <c r="S293" s="113" t="n"/>
      <c r="T293" s="81" t="n"/>
      <c r="U293" s="81" t="n"/>
      <c r="V293" s="113" t="n"/>
      <c r="W293" s="81" t="n"/>
      <c r="X293" s="81" t="n"/>
      <c r="Y293" s="81" t="n"/>
      <c r="Z293" s="81" t="n"/>
      <c r="AA293" s="81" t="n"/>
      <c r="AB293" s="81" t="n"/>
      <c r="AC293" s="81" t="n"/>
      <c r="AD293" s="81" t="n"/>
      <c r="AE293" s="81" t="n"/>
      <c r="AF293" s="81" t="n"/>
      <c r="AG293" s="81" t="n"/>
      <c r="AH293" s="113" t="n"/>
      <c r="AI293" s="81" t="n"/>
      <c r="AJ293" s="81" t="n"/>
      <c r="AK293" s="113" t="n"/>
      <c r="AL293" s="81" t="n"/>
      <c r="AM293" s="81" t="n"/>
      <c r="AN293" s="81" t="n"/>
      <c r="AO293" s="113" t="n"/>
      <c r="AP293" s="113" t="n"/>
      <c r="AQ293" s="81" t="n"/>
      <c r="AR293" s="113" t="n"/>
      <c r="AS293" s="113" t="n"/>
      <c r="AT293" s="114" t="n"/>
      <c r="AU293" s="81" t="n"/>
      <c r="AV293" s="114" t="n"/>
      <c r="AW293" s="114" t="n"/>
      <c r="AX293" s="81" t="n"/>
      <c r="AY293" s="113" t="n"/>
      <c r="AZ293" s="115">
        <f>IF($B293="","",COUNTIF(References!$A$4:$A$503,$A293))</f>
        <v/>
      </c>
      <c r="BA293" s="115">
        <f>IF($B293="","",(LEN(A293)=0)+(LEN(B293)=0)+(LEN(D293)=0)+(LEN(G293)=0)+(LEN(H293)=0)+(LEN(I293)=0)+(LEN(J293)=0)+(LEN(L293)=0)+(LEN(M293)=0)+(LEN(O293)=0)+(LEN(R293)=0)+(LEN(X293)=0)+(LEN(AI293)=0)+(LEN(AJ293)=0)+(LEN(AQ293)=0)+(LEN(AR293)=0)+(LEN(AT293)=0)+(LEN(AU293)=0)+(LEN(AV293)=0)+(LEN(AX293)=0))</f>
        <v/>
      </c>
      <c r="BB293" s="115">
        <f>IF($B293="","",IF(AND(BA293=0,AZ293&gt;=1),"Complete","Incomplete"))</f>
        <v/>
      </c>
    </row>
    <row r="294" ht="15" customHeight="1" s="62">
      <c r="A294" s="81" t="n"/>
      <c r="B294" s="113" t="n"/>
      <c r="C294" s="81" t="n"/>
      <c r="D294" s="81" t="n"/>
      <c r="E294" s="81" t="n"/>
      <c r="F294" s="81" t="n"/>
      <c r="G294" s="81" t="n"/>
      <c r="H294" s="81" t="n"/>
      <c r="I294" s="81" t="n"/>
      <c r="J294" s="81" t="n"/>
      <c r="K294" s="81" t="n"/>
      <c r="L294" s="113" t="n"/>
      <c r="M294" s="81" t="n"/>
      <c r="N294" s="81" t="n"/>
      <c r="O294" s="81" t="n"/>
      <c r="P294" s="81" t="n"/>
      <c r="Q294" s="113" t="n"/>
      <c r="R294" s="113" t="n"/>
      <c r="S294" s="113" t="n"/>
      <c r="T294" s="81" t="n"/>
      <c r="U294" s="81" t="n"/>
      <c r="V294" s="113" t="n"/>
      <c r="W294" s="81" t="n"/>
      <c r="X294" s="81" t="n"/>
      <c r="Y294" s="81" t="n"/>
      <c r="Z294" s="81" t="n"/>
      <c r="AA294" s="81" t="n"/>
      <c r="AB294" s="81" t="n"/>
      <c r="AC294" s="81" t="n"/>
      <c r="AD294" s="81" t="n"/>
      <c r="AE294" s="81" t="n"/>
      <c r="AF294" s="81" t="n"/>
      <c r="AG294" s="81" t="n"/>
      <c r="AH294" s="113" t="n"/>
      <c r="AI294" s="81" t="n"/>
      <c r="AJ294" s="81" t="n"/>
      <c r="AK294" s="113" t="n"/>
      <c r="AL294" s="81" t="n"/>
      <c r="AM294" s="81" t="n"/>
      <c r="AN294" s="81" t="n"/>
      <c r="AO294" s="113" t="n"/>
      <c r="AP294" s="113" t="n"/>
      <c r="AQ294" s="81" t="n"/>
      <c r="AR294" s="113" t="n"/>
      <c r="AS294" s="113" t="n"/>
      <c r="AT294" s="114" t="n"/>
      <c r="AU294" s="81" t="n"/>
      <c r="AV294" s="114" t="n"/>
      <c r="AW294" s="114" t="n"/>
      <c r="AX294" s="81" t="n"/>
      <c r="AY294" s="113" t="n"/>
      <c r="AZ294" s="115">
        <f>IF($B294="","",COUNTIF(References!$A$4:$A$503,$A294))</f>
        <v/>
      </c>
      <c r="BA294" s="115">
        <f>IF($B294="","",(LEN(A294)=0)+(LEN(B294)=0)+(LEN(D294)=0)+(LEN(G294)=0)+(LEN(H294)=0)+(LEN(I294)=0)+(LEN(J294)=0)+(LEN(L294)=0)+(LEN(M294)=0)+(LEN(O294)=0)+(LEN(R294)=0)+(LEN(X294)=0)+(LEN(AI294)=0)+(LEN(AJ294)=0)+(LEN(AQ294)=0)+(LEN(AR294)=0)+(LEN(AT294)=0)+(LEN(AU294)=0)+(LEN(AV294)=0)+(LEN(AX294)=0))</f>
        <v/>
      </c>
      <c r="BB294" s="115">
        <f>IF($B294="","",IF(AND(BA294=0,AZ294&gt;=1),"Complete","Incomplete"))</f>
        <v/>
      </c>
    </row>
    <row r="295" ht="15" customHeight="1" s="62">
      <c r="A295" s="81" t="n"/>
      <c r="B295" s="113" t="n"/>
      <c r="C295" s="81" t="n"/>
      <c r="D295" s="81" t="n"/>
      <c r="E295" s="81" t="n"/>
      <c r="F295" s="81" t="n"/>
      <c r="G295" s="81" t="n"/>
      <c r="H295" s="81" t="n"/>
      <c r="I295" s="81" t="n"/>
      <c r="J295" s="81" t="n"/>
      <c r="K295" s="81" t="n"/>
      <c r="L295" s="113" t="n"/>
      <c r="M295" s="81" t="n"/>
      <c r="N295" s="81" t="n"/>
      <c r="O295" s="81" t="n"/>
      <c r="P295" s="81" t="n"/>
      <c r="Q295" s="113" t="n"/>
      <c r="R295" s="113" t="n"/>
      <c r="S295" s="113" t="n"/>
      <c r="T295" s="81" t="n"/>
      <c r="U295" s="81" t="n"/>
      <c r="V295" s="113" t="n"/>
      <c r="W295" s="81" t="n"/>
      <c r="X295" s="81" t="n"/>
      <c r="Y295" s="81" t="n"/>
      <c r="Z295" s="81" t="n"/>
      <c r="AA295" s="81" t="n"/>
      <c r="AB295" s="81" t="n"/>
      <c r="AC295" s="81" t="n"/>
      <c r="AD295" s="81" t="n"/>
      <c r="AE295" s="81" t="n"/>
      <c r="AF295" s="81" t="n"/>
      <c r="AG295" s="81" t="n"/>
      <c r="AH295" s="113" t="n"/>
      <c r="AI295" s="81" t="n"/>
      <c r="AJ295" s="81" t="n"/>
      <c r="AK295" s="113" t="n"/>
      <c r="AL295" s="81" t="n"/>
      <c r="AM295" s="81" t="n"/>
      <c r="AN295" s="81" t="n"/>
      <c r="AO295" s="113" t="n"/>
      <c r="AP295" s="113" t="n"/>
      <c r="AQ295" s="81" t="n"/>
      <c r="AR295" s="113" t="n"/>
      <c r="AS295" s="113" t="n"/>
      <c r="AT295" s="114" t="n"/>
      <c r="AU295" s="81" t="n"/>
      <c r="AV295" s="114" t="n"/>
      <c r="AW295" s="114" t="n"/>
      <c r="AX295" s="81" t="n"/>
      <c r="AY295" s="113" t="n"/>
      <c r="AZ295" s="115">
        <f>IF($B295="","",COUNTIF(References!$A$4:$A$503,$A295))</f>
        <v/>
      </c>
      <c r="BA295" s="115">
        <f>IF($B295="","",(LEN(A295)=0)+(LEN(B295)=0)+(LEN(D295)=0)+(LEN(G295)=0)+(LEN(H295)=0)+(LEN(I295)=0)+(LEN(J295)=0)+(LEN(L295)=0)+(LEN(M295)=0)+(LEN(O295)=0)+(LEN(R295)=0)+(LEN(X295)=0)+(LEN(AI295)=0)+(LEN(AJ295)=0)+(LEN(AQ295)=0)+(LEN(AR295)=0)+(LEN(AT295)=0)+(LEN(AU295)=0)+(LEN(AV295)=0)+(LEN(AX295)=0))</f>
        <v/>
      </c>
      <c r="BB295" s="115">
        <f>IF($B295="","",IF(AND(BA295=0,AZ295&gt;=1),"Complete","Incomplete"))</f>
        <v/>
      </c>
    </row>
    <row r="296" ht="15" customHeight="1" s="62">
      <c r="A296" s="81" t="n"/>
      <c r="B296" s="113" t="n"/>
      <c r="C296" s="81" t="n"/>
      <c r="D296" s="81" t="n"/>
      <c r="E296" s="81" t="n"/>
      <c r="F296" s="81" t="n"/>
      <c r="G296" s="81" t="n"/>
      <c r="H296" s="81" t="n"/>
      <c r="I296" s="81" t="n"/>
      <c r="J296" s="81" t="n"/>
      <c r="K296" s="81" t="n"/>
      <c r="L296" s="113" t="n"/>
      <c r="M296" s="81" t="n"/>
      <c r="N296" s="81" t="n"/>
      <c r="O296" s="81" t="n"/>
      <c r="P296" s="81" t="n"/>
      <c r="Q296" s="113" t="n"/>
      <c r="R296" s="113" t="n"/>
      <c r="S296" s="113" t="n"/>
      <c r="T296" s="81" t="n"/>
      <c r="U296" s="81" t="n"/>
      <c r="V296" s="113" t="n"/>
      <c r="W296" s="81" t="n"/>
      <c r="X296" s="81" t="n"/>
      <c r="Y296" s="81" t="n"/>
      <c r="Z296" s="81" t="n"/>
      <c r="AA296" s="81" t="n"/>
      <c r="AB296" s="81" t="n"/>
      <c r="AC296" s="81" t="n"/>
      <c r="AD296" s="81" t="n"/>
      <c r="AE296" s="81" t="n"/>
      <c r="AF296" s="81" t="n"/>
      <c r="AG296" s="81" t="n"/>
      <c r="AH296" s="113" t="n"/>
      <c r="AI296" s="81" t="n"/>
      <c r="AJ296" s="81" t="n"/>
      <c r="AK296" s="113" t="n"/>
      <c r="AL296" s="81" t="n"/>
      <c r="AM296" s="81" t="n"/>
      <c r="AN296" s="81" t="n"/>
      <c r="AO296" s="113" t="n"/>
      <c r="AP296" s="113" t="n"/>
      <c r="AQ296" s="81" t="n"/>
      <c r="AR296" s="113" t="n"/>
      <c r="AS296" s="113" t="n"/>
      <c r="AT296" s="114" t="n"/>
      <c r="AU296" s="81" t="n"/>
      <c r="AV296" s="114" t="n"/>
      <c r="AW296" s="114" t="n"/>
      <c r="AX296" s="81" t="n"/>
      <c r="AY296" s="113" t="n"/>
      <c r="AZ296" s="115">
        <f>IF($B296="","",COUNTIF(References!$A$4:$A$503,$A296))</f>
        <v/>
      </c>
      <c r="BA296" s="115">
        <f>IF($B296="","",(LEN(A296)=0)+(LEN(B296)=0)+(LEN(D296)=0)+(LEN(G296)=0)+(LEN(H296)=0)+(LEN(I296)=0)+(LEN(J296)=0)+(LEN(L296)=0)+(LEN(M296)=0)+(LEN(O296)=0)+(LEN(R296)=0)+(LEN(X296)=0)+(LEN(AI296)=0)+(LEN(AJ296)=0)+(LEN(AQ296)=0)+(LEN(AR296)=0)+(LEN(AT296)=0)+(LEN(AU296)=0)+(LEN(AV296)=0)+(LEN(AX296)=0))</f>
        <v/>
      </c>
      <c r="BB296" s="115">
        <f>IF($B296="","",IF(AND(BA296=0,AZ296&gt;=1),"Complete","Incomplete"))</f>
        <v/>
      </c>
    </row>
    <row r="297" ht="15" customHeight="1" s="62">
      <c r="A297" s="81" t="n"/>
      <c r="B297" s="113" t="n"/>
      <c r="C297" s="81" t="n"/>
      <c r="D297" s="81" t="n"/>
      <c r="E297" s="81" t="n"/>
      <c r="F297" s="81" t="n"/>
      <c r="G297" s="81" t="n"/>
      <c r="H297" s="81" t="n"/>
      <c r="I297" s="81" t="n"/>
      <c r="J297" s="81" t="n"/>
      <c r="K297" s="81" t="n"/>
      <c r="L297" s="113" t="n"/>
      <c r="M297" s="81" t="n"/>
      <c r="N297" s="81" t="n"/>
      <c r="O297" s="81" t="n"/>
      <c r="P297" s="81" t="n"/>
      <c r="Q297" s="113" t="n"/>
      <c r="R297" s="113" t="n"/>
      <c r="S297" s="113" t="n"/>
      <c r="T297" s="81" t="n"/>
      <c r="U297" s="81" t="n"/>
      <c r="V297" s="113" t="n"/>
      <c r="W297" s="81" t="n"/>
      <c r="X297" s="81" t="n"/>
      <c r="Y297" s="81" t="n"/>
      <c r="Z297" s="81" t="n"/>
      <c r="AA297" s="81" t="n"/>
      <c r="AB297" s="81" t="n"/>
      <c r="AC297" s="81" t="n"/>
      <c r="AD297" s="81" t="n"/>
      <c r="AE297" s="81" t="n"/>
      <c r="AF297" s="81" t="n"/>
      <c r="AG297" s="81" t="n"/>
      <c r="AH297" s="113" t="n"/>
      <c r="AI297" s="81" t="n"/>
      <c r="AJ297" s="81" t="n"/>
      <c r="AK297" s="113" t="n"/>
      <c r="AL297" s="81" t="n"/>
      <c r="AM297" s="81" t="n"/>
      <c r="AN297" s="81" t="n"/>
      <c r="AO297" s="113" t="n"/>
      <c r="AP297" s="113" t="n"/>
      <c r="AQ297" s="81" t="n"/>
      <c r="AR297" s="113" t="n"/>
      <c r="AS297" s="113" t="n"/>
      <c r="AT297" s="114" t="n"/>
      <c r="AU297" s="81" t="n"/>
      <c r="AV297" s="114" t="n"/>
      <c r="AW297" s="114" t="n"/>
      <c r="AX297" s="81" t="n"/>
      <c r="AY297" s="113" t="n"/>
      <c r="AZ297" s="115">
        <f>IF($B297="","",COUNTIF(References!$A$4:$A$503,$A297))</f>
        <v/>
      </c>
      <c r="BA297" s="115">
        <f>IF($B297="","",(LEN(A297)=0)+(LEN(B297)=0)+(LEN(D297)=0)+(LEN(G297)=0)+(LEN(H297)=0)+(LEN(I297)=0)+(LEN(J297)=0)+(LEN(L297)=0)+(LEN(M297)=0)+(LEN(O297)=0)+(LEN(R297)=0)+(LEN(X297)=0)+(LEN(AI297)=0)+(LEN(AJ297)=0)+(LEN(AQ297)=0)+(LEN(AR297)=0)+(LEN(AT297)=0)+(LEN(AU297)=0)+(LEN(AV297)=0)+(LEN(AX297)=0))</f>
        <v/>
      </c>
      <c r="BB297" s="115">
        <f>IF($B297="","",IF(AND(BA297=0,AZ297&gt;=1),"Complete","Incomplete"))</f>
        <v/>
      </c>
    </row>
    <row r="298" ht="15" customHeight="1" s="62">
      <c r="A298" s="81" t="n"/>
      <c r="B298" s="113" t="n"/>
      <c r="C298" s="81" t="n"/>
      <c r="D298" s="81" t="n"/>
      <c r="E298" s="81" t="n"/>
      <c r="F298" s="81" t="n"/>
      <c r="G298" s="81" t="n"/>
      <c r="H298" s="81" t="n"/>
      <c r="I298" s="81" t="n"/>
      <c r="J298" s="81" t="n"/>
      <c r="K298" s="81" t="n"/>
      <c r="L298" s="113" t="n"/>
      <c r="M298" s="81" t="n"/>
      <c r="N298" s="81" t="n"/>
      <c r="O298" s="81" t="n"/>
      <c r="P298" s="81" t="n"/>
      <c r="Q298" s="113" t="n"/>
      <c r="R298" s="113" t="n"/>
      <c r="S298" s="113" t="n"/>
      <c r="T298" s="81" t="n"/>
      <c r="U298" s="81" t="n"/>
      <c r="V298" s="113" t="n"/>
      <c r="W298" s="81" t="n"/>
      <c r="X298" s="81" t="n"/>
      <c r="Y298" s="81" t="n"/>
      <c r="Z298" s="81" t="n"/>
      <c r="AA298" s="81" t="n"/>
      <c r="AB298" s="81" t="n"/>
      <c r="AC298" s="81" t="n"/>
      <c r="AD298" s="81" t="n"/>
      <c r="AE298" s="81" t="n"/>
      <c r="AF298" s="81" t="n"/>
      <c r="AG298" s="81" t="n"/>
      <c r="AH298" s="113" t="n"/>
      <c r="AI298" s="81" t="n"/>
      <c r="AJ298" s="81" t="n"/>
      <c r="AK298" s="113" t="n"/>
      <c r="AL298" s="81" t="n"/>
      <c r="AM298" s="81" t="n"/>
      <c r="AN298" s="81" t="n"/>
      <c r="AO298" s="113" t="n"/>
      <c r="AP298" s="113" t="n"/>
      <c r="AQ298" s="81" t="n"/>
      <c r="AR298" s="113" t="n"/>
      <c r="AS298" s="113" t="n"/>
      <c r="AT298" s="114" t="n"/>
      <c r="AU298" s="81" t="n"/>
      <c r="AV298" s="114" t="n"/>
      <c r="AW298" s="114" t="n"/>
      <c r="AX298" s="81" t="n"/>
      <c r="AY298" s="113" t="n"/>
      <c r="AZ298" s="115">
        <f>IF($B298="","",COUNTIF(References!$A$4:$A$503,$A298))</f>
        <v/>
      </c>
      <c r="BA298" s="115">
        <f>IF($B298="","",(LEN(A298)=0)+(LEN(B298)=0)+(LEN(D298)=0)+(LEN(G298)=0)+(LEN(H298)=0)+(LEN(I298)=0)+(LEN(J298)=0)+(LEN(L298)=0)+(LEN(M298)=0)+(LEN(O298)=0)+(LEN(R298)=0)+(LEN(X298)=0)+(LEN(AI298)=0)+(LEN(AJ298)=0)+(LEN(AQ298)=0)+(LEN(AR298)=0)+(LEN(AT298)=0)+(LEN(AU298)=0)+(LEN(AV298)=0)+(LEN(AX298)=0))</f>
        <v/>
      </c>
      <c r="BB298" s="115">
        <f>IF($B298="","",IF(AND(BA298=0,AZ298&gt;=1),"Complete","Incomplete"))</f>
        <v/>
      </c>
    </row>
    <row r="299" ht="15" customHeight="1" s="62">
      <c r="A299" s="81" t="n"/>
      <c r="B299" s="113" t="n"/>
      <c r="C299" s="81" t="n"/>
      <c r="D299" s="81" t="n"/>
      <c r="E299" s="81" t="n"/>
      <c r="F299" s="81" t="n"/>
      <c r="G299" s="81" t="n"/>
      <c r="H299" s="81" t="n"/>
      <c r="I299" s="81" t="n"/>
      <c r="J299" s="81" t="n"/>
      <c r="K299" s="81" t="n"/>
      <c r="L299" s="113" t="n"/>
      <c r="M299" s="81" t="n"/>
      <c r="N299" s="81" t="n"/>
      <c r="O299" s="81" t="n"/>
      <c r="P299" s="81" t="n"/>
      <c r="Q299" s="113" t="n"/>
      <c r="R299" s="113" t="n"/>
      <c r="S299" s="113" t="n"/>
      <c r="T299" s="81" t="n"/>
      <c r="U299" s="81" t="n"/>
      <c r="V299" s="113" t="n"/>
      <c r="W299" s="81" t="n"/>
      <c r="X299" s="81" t="n"/>
      <c r="Y299" s="81" t="n"/>
      <c r="Z299" s="81" t="n"/>
      <c r="AA299" s="81" t="n"/>
      <c r="AB299" s="81" t="n"/>
      <c r="AC299" s="81" t="n"/>
      <c r="AD299" s="81" t="n"/>
      <c r="AE299" s="81" t="n"/>
      <c r="AF299" s="81" t="n"/>
      <c r="AG299" s="81" t="n"/>
      <c r="AH299" s="113" t="n"/>
      <c r="AI299" s="81" t="n"/>
      <c r="AJ299" s="81" t="n"/>
      <c r="AK299" s="113" t="n"/>
      <c r="AL299" s="81" t="n"/>
      <c r="AM299" s="81" t="n"/>
      <c r="AN299" s="81" t="n"/>
      <c r="AO299" s="113" t="n"/>
      <c r="AP299" s="113" t="n"/>
      <c r="AQ299" s="81" t="n"/>
      <c r="AR299" s="113" t="n"/>
      <c r="AS299" s="113" t="n"/>
      <c r="AT299" s="114" t="n"/>
      <c r="AU299" s="81" t="n"/>
      <c r="AV299" s="114" t="n"/>
      <c r="AW299" s="114" t="n"/>
      <c r="AX299" s="81" t="n"/>
      <c r="AY299" s="113" t="n"/>
      <c r="AZ299" s="115">
        <f>IF($B299="","",COUNTIF(References!$A$4:$A$503,$A299))</f>
        <v/>
      </c>
      <c r="BA299" s="115">
        <f>IF($B299="","",(LEN(A299)=0)+(LEN(B299)=0)+(LEN(D299)=0)+(LEN(G299)=0)+(LEN(H299)=0)+(LEN(I299)=0)+(LEN(J299)=0)+(LEN(L299)=0)+(LEN(M299)=0)+(LEN(O299)=0)+(LEN(R299)=0)+(LEN(X299)=0)+(LEN(AI299)=0)+(LEN(AJ299)=0)+(LEN(AQ299)=0)+(LEN(AR299)=0)+(LEN(AT299)=0)+(LEN(AU299)=0)+(LEN(AV299)=0)+(LEN(AX299)=0))</f>
        <v/>
      </c>
      <c r="BB299" s="115">
        <f>IF($B299="","",IF(AND(BA299=0,AZ299&gt;=1),"Complete","Incomplete"))</f>
        <v/>
      </c>
    </row>
    <row r="300" ht="15" customHeight="1" s="62">
      <c r="A300" s="81" t="n"/>
      <c r="B300" s="113" t="n"/>
      <c r="C300" s="81" t="n"/>
      <c r="D300" s="81" t="n"/>
      <c r="E300" s="81" t="n"/>
      <c r="F300" s="81" t="n"/>
      <c r="G300" s="81" t="n"/>
      <c r="H300" s="81" t="n"/>
      <c r="I300" s="81" t="n"/>
      <c r="J300" s="81" t="n"/>
      <c r="K300" s="81" t="n"/>
      <c r="L300" s="113" t="n"/>
      <c r="M300" s="81" t="n"/>
      <c r="N300" s="81" t="n"/>
      <c r="O300" s="81" t="n"/>
      <c r="P300" s="81" t="n"/>
      <c r="Q300" s="113" t="n"/>
      <c r="R300" s="113" t="n"/>
      <c r="S300" s="113" t="n"/>
      <c r="T300" s="81" t="n"/>
      <c r="U300" s="81" t="n"/>
      <c r="V300" s="113" t="n"/>
      <c r="W300" s="81" t="n"/>
      <c r="X300" s="81" t="n"/>
      <c r="Y300" s="81" t="n"/>
      <c r="Z300" s="81" t="n"/>
      <c r="AA300" s="81" t="n"/>
      <c r="AB300" s="81" t="n"/>
      <c r="AC300" s="81" t="n"/>
      <c r="AD300" s="81" t="n"/>
      <c r="AE300" s="81" t="n"/>
      <c r="AF300" s="81" t="n"/>
      <c r="AG300" s="81" t="n"/>
      <c r="AH300" s="113" t="n"/>
      <c r="AI300" s="81" t="n"/>
      <c r="AJ300" s="81" t="n"/>
      <c r="AK300" s="113" t="n"/>
      <c r="AL300" s="81" t="n"/>
      <c r="AM300" s="81" t="n"/>
      <c r="AN300" s="81" t="n"/>
      <c r="AO300" s="113" t="n"/>
      <c r="AP300" s="113" t="n"/>
      <c r="AQ300" s="81" t="n"/>
      <c r="AR300" s="113" t="n"/>
      <c r="AS300" s="113" t="n"/>
      <c r="AT300" s="114" t="n"/>
      <c r="AU300" s="81" t="n"/>
      <c r="AV300" s="114" t="n"/>
      <c r="AW300" s="114" t="n"/>
      <c r="AX300" s="81" t="n"/>
      <c r="AY300" s="113" t="n"/>
      <c r="AZ300" s="115">
        <f>IF($B300="","",COUNTIF(References!$A$4:$A$503,$A300))</f>
        <v/>
      </c>
      <c r="BA300" s="115">
        <f>IF($B300="","",(LEN(A300)=0)+(LEN(B300)=0)+(LEN(D300)=0)+(LEN(G300)=0)+(LEN(H300)=0)+(LEN(I300)=0)+(LEN(J300)=0)+(LEN(L300)=0)+(LEN(M300)=0)+(LEN(O300)=0)+(LEN(R300)=0)+(LEN(X300)=0)+(LEN(AI300)=0)+(LEN(AJ300)=0)+(LEN(AQ300)=0)+(LEN(AR300)=0)+(LEN(AT300)=0)+(LEN(AU300)=0)+(LEN(AV300)=0)+(LEN(AX300)=0))</f>
        <v/>
      </c>
      <c r="BB300" s="115">
        <f>IF($B300="","",IF(AND(BA300=0,AZ300&gt;=1),"Complete","Incomplete"))</f>
        <v/>
      </c>
    </row>
    <row r="301" ht="15" customHeight="1" s="62">
      <c r="A301" s="81" t="n"/>
      <c r="B301" s="113" t="n"/>
      <c r="C301" s="81" t="n"/>
      <c r="D301" s="81" t="n"/>
      <c r="E301" s="81" t="n"/>
      <c r="F301" s="81" t="n"/>
      <c r="G301" s="81" t="n"/>
      <c r="H301" s="81" t="n"/>
      <c r="I301" s="81" t="n"/>
      <c r="J301" s="81" t="n"/>
      <c r="K301" s="81" t="n"/>
      <c r="L301" s="113" t="n"/>
      <c r="M301" s="81" t="n"/>
      <c r="N301" s="81" t="n"/>
      <c r="O301" s="81" t="n"/>
      <c r="P301" s="81" t="n"/>
      <c r="Q301" s="113" t="n"/>
      <c r="R301" s="113" t="n"/>
      <c r="S301" s="113" t="n"/>
      <c r="T301" s="81" t="n"/>
      <c r="U301" s="81" t="n"/>
      <c r="V301" s="113" t="n"/>
      <c r="W301" s="81" t="n"/>
      <c r="X301" s="81" t="n"/>
      <c r="Y301" s="81" t="n"/>
      <c r="Z301" s="81" t="n"/>
      <c r="AA301" s="81" t="n"/>
      <c r="AB301" s="81" t="n"/>
      <c r="AC301" s="81" t="n"/>
      <c r="AD301" s="81" t="n"/>
      <c r="AE301" s="81" t="n"/>
      <c r="AF301" s="81" t="n"/>
      <c r="AG301" s="81" t="n"/>
      <c r="AH301" s="113" t="n"/>
      <c r="AI301" s="81" t="n"/>
      <c r="AJ301" s="81" t="n"/>
      <c r="AK301" s="113" t="n"/>
      <c r="AL301" s="81" t="n"/>
      <c r="AM301" s="81" t="n"/>
      <c r="AN301" s="81" t="n"/>
      <c r="AO301" s="113" t="n"/>
      <c r="AP301" s="113" t="n"/>
      <c r="AQ301" s="81" t="n"/>
      <c r="AR301" s="113" t="n"/>
      <c r="AS301" s="113" t="n"/>
      <c r="AT301" s="114" t="n"/>
      <c r="AU301" s="81" t="n"/>
      <c r="AV301" s="114" t="n"/>
      <c r="AW301" s="114" t="n"/>
      <c r="AX301" s="81" t="n"/>
      <c r="AY301" s="113" t="n"/>
      <c r="AZ301" s="115">
        <f>IF($B301="","",COUNTIF(References!$A$4:$A$503,$A301))</f>
        <v/>
      </c>
      <c r="BA301" s="115">
        <f>IF($B301="","",(LEN(A301)=0)+(LEN(B301)=0)+(LEN(D301)=0)+(LEN(G301)=0)+(LEN(H301)=0)+(LEN(I301)=0)+(LEN(J301)=0)+(LEN(L301)=0)+(LEN(M301)=0)+(LEN(O301)=0)+(LEN(R301)=0)+(LEN(X301)=0)+(LEN(AI301)=0)+(LEN(AJ301)=0)+(LEN(AQ301)=0)+(LEN(AR301)=0)+(LEN(AT301)=0)+(LEN(AU301)=0)+(LEN(AV301)=0)+(LEN(AX301)=0))</f>
        <v/>
      </c>
      <c r="BB301" s="115">
        <f>IF($B301="","",IF(AND(BA301=0,AZ301&gt;=1),"Complete","Incomplete"))</f>
        <v/>
      </c>
    </row>
    <row r="302" ht="15" customHeight="1" s="62">
      <c r="A302" s="81" t="n"/>
      <c r="B302" s="113" t="n"/>
      <c r="C302" s="81" t="n"/>
      <c r="D302" s="81" t="n"/>
      <c r="E302" s="81" t="n"/>
      <c r="F302" s="81" t="n"/>
      <c r="G302" s="81" t="n"/>
      <c r="H302" s="81" t="n"/>
      <c r="I302" s="81" t="n"/>
      <c r="J302" s="81" t="n"/>
      <c r="K302" s="81" t="n"/>
      <c r="L302" s="113" t="n"/>
      <c r="M302" s="81" t="n"/>
      <c r="N302" s="81" t="n"/>
      <c r="O302" s="81" t="n"/>
      <c r="P302" s="81" t="n"/>
      <c r="Q302" s="113" t="n"/>
      <c r="R302" s="113" t="n"/>
      <c r="S302" s="113" t="n"/>
      <c r="T302" s="81" t="n"/>
      <c r="U302" s="81" t="n"/>
      <c r="V302" s="113" t="n"/>
      <c r="W302" s="81" t="n"/>
      <c r="X302" s="81" t="n"/>
      <c r="Y302" s="81" t="n"/>
      <c r="Z302" s="81" t="n"/>
      <c r="AA302" s="81" t="n"/>
      <c r="AB302" s="81" t="n"/>
      <c r="AC302" s="81" t="n"/>
      <c r="AD302" s="81" t="n"/>
      <c r="AE302" s="81" t="n"/>
      <c r="AF302" s="81" t="n"/>
      <c r="AG302" s="81" t="n"/>
      <c r="AH302" s="113" t="n"/>
      <c r="AI302" s="81" t="n"/>
      <c r="AJ302" s="81" t="n"/>
      <c r="AK302" s="113" t="n"/>
      <c r="AL302" s="81" t="n"/>
      <c r="AM302" s="81" t="n"/>
      <c r="AN302" s="81" t="n"/>
      <c r="AO302" s="113" t="n"/>
      <c r="AP302" s="113" t="n"/>
      <c r="AQ302" s="81" t="n"/>
      <c r="AR302" s="113" t="n"/>
      <c r="AS302" s="113" t="n"/>
      <c r="AT302" s="114" t="n"/>
      <c r="AU302" s="81" t="n"/>
      <c r="AV302" s="114" t="n"/>
      <c r="AW302" s="114" t="n"/>
      <c r="AX302" s="81" t="n"/>
      <c r="AY302" s="113" t="n"/>
      <c r="AZ302" s="115">
        <f>IF($B302="","",COUNTIF(References!$A$4:$A$503,$A302))</f>
        <v/>
      </c>
      <c r="BA302" s="115">
        <f>IF($B302="","",(LEN(A302)=0)+(LEN(B302)=0)+(LEN(D302)=0)+(LEN(G302)=0)+(LEN(H302)=0)+(LEN(I302)=0)+(LEN(J302)=0)+(LEN(L302)=0)+(LEN(M302)=0)+(LEN(O302)=0)+(LEN(R302)=0)+(LEN(X302)=0)+(LEN(AI302)=0)+(LEN(AJ302)=0)+(LEN(AQ302)=0)+(LEN(AR302)=0)+(LEN(AT302)=0)+(LEN(AU302)=0)+(LEN(AV302)=0)+(LEN(AX302)=0))</f>
        <v/>
      </c>
      <c r="BB302" s="115">
        <f>IF($B302="","",IF(AND(BA302=0,AZ302&gt;=1),"Complete","Incomplete"))</f>
        <v/>
      </c>
    </row>
    <row r="303" ht="15" customHeight="1" s="62">
      <c r="A303" s="81" t="n"/>
      <c r="B303" s="113" t="n"/>
      <c r="C303" s="81" t="n"/>
      <c r="D303" s="81" t="n"/>
      <c r="E303" s="81" t="n"/>
      <c r="F303" s="81" t="n"/>
      <c r="G303" s="81" t="n"/>
      <c r="H303" s="81" t="n"/>
      <c r="I303" s="81" t="n"/>
      <c r="J303" s="81" t="n"/>
      <c r="K303" s="81" t="n"/>
      <c r="L303" s="113" t="n"/>
      <c r="M303" s="81" t="n"/>
      <c r="N303" s="81" t="n"/>
      <c r="O303" s="81" t="n"/>
      <c r="P303" s="81" t="n"/>
      <c r="Q303" s="113" t="n"/>
      <c r="R303" s="113" t="n"/>
      <c r="S303" s="113" t="n"/>
      <c r="T303" s="81" t="n"/>
      <c r="U303" s="81" t="n"/>
      <c r="V303" s="113" t="n"/>
      <c r="W303" s="81" t="n"/>
      <c r="X303" s="81" t="n"/>
      <c r="Y303" s="81" t="n"/>
      <c r="Z303" s="81" t="n"/>
      <c r="AA303" s="81" t="n"/>
      <c r="AB303" s="81" t="n"/>
      <c r="AC303" s="81" t="n"/>
      <c r="AD303" s="81" t="n"/>
      <c r="AE303" s="81" t="n"/>
      <c r="AF303" s="81" t="n"/>
      <c r="AG303" s="81" t="n"/>
      <c r="AH303" s="113" t="n"/>
      <c r="AI303" s="81" t="n"/>
      <c r="AJ303" s="81" t="n"/>
      <c r="AK303" s="113" t="n"/>
      <c r="AL303" s="81" t="n"/>
      <c r="AM303" s="81" t="n"/>
      <c r="AN303" s="81" t="n"/>
      <c r="AO303" s="113" t="n"/>
      <c r="AP303" s="113" t="n"/>
      <c r="AQ303" s="81" t="n"/>
      <c r="AR303" s="113" t="n"/>
      <c r="AS303" s="113" t="n"/>
      <c r="AT303" s="114" t="n"/>
      <c r="AU303" s="81" t="n"/>
      <c r="AV303" s="114" t="n"/>
      <c r="AW303" s="114" t="n"/>
      <c r="AX303" s="81" t="n"/>
      <c r="AY303" s="113" t="n"/>
      <c r="AZ303" s="115">
        <f>IF($B303="","",COUNTIF(References!$A$4:$A$503,$A303))</f>
        <v/>
      </c>
      <c r="BA303" s="115">
        <f>IF($B303="","",(LEN(A303)=0)+(LEN(B303)=0)+(LEN(D303)=0)+(LEN(G303)=0)+(LEN(H303)=0)+(LEN(I303)=0)+(LEN(J303)=0)+(LEN(L303)=0)+(LEN(M303)=0)+(LEN(O303)=0)+(LEN(R303)=0)+(LEN(X303)=0)+(LEN(AI303)=0)+(LEN(AJ303)=0)+(LEN(AQ303)=0)+(LEN(AR303)=0)+(LEN(AT303)=0)+(LEN(AU303)=0)+(LEN(AV303)=0)+(LEN(AX303)=0))</f>
        <v/>
      </c>
      <c r="BB303" s="115">
        <f>IF($B303="","",IF(AND(BA303=0,AZ303&gt;=1),"Complete","Incomplete"))</f>
        <v/>
      </c>
    </row>
    <row r="304" ht="15" customHeight="1" s="62">
      <c r="A304" s="81" t="n"/>
      <c r="B304" s="113" t="n"/>
      <c r="C304" s="81" t="n"/>
      <c r="D304" s="81" t="n"/>
      <c r="E304" s="81" t="n"/>
      <c r="F304" s="81" t="n"/>
      <c r="G304" s="81" t="n"/>
      <c r="H304" s="81" t="n"/>
      <c r="I304" s="81" t="n"/>
      <c r="J304" s="81" t="n"/>
      <c r="K304" s="81" t="n"/>
      <c r="L304" s="113" t="n"/>
      <c r="M304" s="81" t="n"/>
      <c r="N304" s="81" t="n"/>
      <c r="O304" s="81" t="n"/>
      <c r="P304" s="81" t="n"/>
      <c r="Q304" s="113" t="n"/>
      <c r="R304" s="113" t="n"/>
      <c r="S304" s="113" t="n"/>
      <c r="T304" s="81" t="n"/>
      <c r="U304" s="81" t="n"/>
      <c r="V304" s="113" t="n"/>
      <c r="W304" s="81" t="n"/>
      <c r="X304" s="81" t="n"/>
      <c r="Y304" s="81" t="n"/>
      <c r="Z304" s="81" t="n"/>
      <c r="AA304" s="81" t="n"/>
      <c r="AB304" s="81" t="n"/>
      <c r="AC304" s="81" t="n"/>
      <c r="AD304" s="81" t="n"/>
      <c r="AE304" s="81" t="n"/>
      <c r="AF304" s="81" t="n"/>
      <c r="AG304" s="81" t="n"/>
      <c r="AH304" s="113" t="n"/>
      <c r="AI304" s="81" t="n"/>
      <c r="AJ304" s="81" t="n"/>
      <c r="AK304" s="113" t="n"/>
      <c r="AL304" s="81" t="n"/>
      <c r="AM304" s="81" t="n"/>
      <c r="AN304" s="81" t="n"/>
      <c r="AO304" s="113" t="n"/>
      <c r="AP304" s="113" t="n"/>
      <c r="AQ304" s="81" t="n"/>
      <c r="AR304" s="113" t="n"/>
      <c r="AS304" s="113" t="n"/>
      <c r="AT304" s="114" t="n"/>
      <c r="AU304" s="81" t="n"/>
      <c r="AV304" s="114" t="n"/>
      <c r="AW304" s="114" t="n"/>
      <c r="AX304" s="81" t="n"/>
      <c r="AY304" s="113" t="n"/>
      <c r="AZ304" s="115">
        <f>IF($B304="","",COUNTIF(References!$A$4:$A$503,$A304))</f>
        <v/>
      </c>
      <c r="BA304" s="115">
        <f>IF($B304="","",(LEN(A304)=0)+(LEN(B304)=0)+(LEN(D304)=0)+(LEN(G304)=0)+(LEN(H304)=0)+(LEN(I304)=0)+(LEN(J304)=0)+(LEN(L304)=0)+(LEN(M304)=0)+(LEN(O304)=0)+(LEN(R304)=0)+(LEN(X304)=0)+(LEN(AI304)=0)+(LEN(AJ304)=0)+(LEN(AQ304)=0)+(LEN(AR304)=0)+(LEN(AT304)=0)+(LEN(AU304)=0)+(LEN(AV304)=0)+(LEN(AX304)=0))</f>
        <v/>
      </c>
      <c r="BB304" s="115">
        <f>IF($B304="","",IF(AND(BA304=0,AZ304&gt;=1),"Complete","Incomplete"))</f>
        <v/>
      </c>
    </row>
    <row r="305" ht="15" customHeight="1" s="62">
      <c r="A305" s="81" t="n"/>
      <c r="B305" s="113" t="n"/>
      <c r="C305" s="81" t="n"/>
      <c r="D305" s="81" t="n"/>
      <c r="E305" s="81" t="n"/>
      <c r="F305" s="81" t="n"/>
      <c r="G305" s="81" t="n"/>
      <c r="H305" s="81" t="n"/>
      <c r="I305" s="81" t="n"/>
      <c r="J305" s="81" t="n"/>
      <c r="K305" s="81" t="n"/>
      <c r="L305" s="113" t="n"/>
      <c r="M305" s="81" t="n"/>
      <c r="N305" s="81" t="n"/>
      <c r="O305" s="81" t="n"/>
      <c r="P305" s="81" t="n"/>
      <c r="Q305" s="113" t="n"/>
      <c r="R305" s="113" t="n"/>
      <c r="S305" s="113" t="n"/>
      <c r="T305" s="81" t="n"/>
      <c r="U305" s="81" t="n"/>
      <c r="V305" s="113" t="n"/>
      <c r="W305" s="81" t="n"/>
      <c r="X305" s="81" t="n"/>
      <c r="Y305" s="81" t="n"/>
      <c r="Z305" s="81" t="n"/>
      <c r="AA305" s="81" t="n"/>
      <c r="AB305" s="81" t="n"/>
      <c r="AC305" s="81" t="n"/>
      <c r="AD305" s="81" t="n"/>
      <c r="AE305" s="81" t="n"/>
      <c r="AF305" s="81" t="n"/>
      <c r="AG305" s="81" t="n"/>
      <c r="AH305" s="113" t="n"/>
      <c r="AI305" s="81" t="n"/>
      <c r="AJ305" s="81" t="n"/>
      <c r="AK305" s="113" t="n"/>
      <c r="AL305" s="81" t="n"/>
      <c r="AM305" s="81" t="n"/>
      <c r="AN305" s="81" t="n"/>
      <c r="AO305" s="113" t="n"/>
      <c r="AP305" s="113" t="n"/>
      <c r="AQ305" s="81" t="n"/>
      <c r="AR305" s="113" t="n"/>
      <c r="AS305" s="113" t="n"/>
      <c r="AT305" s="114" t="n"/>
      <c r="AU305" s="81" t="n"/>
      <c r="AV305" s="114" t="n"/>
      <c r="AW305" s="114" t="n"/>
      <c r="AX305" s="81" t="n"/>
      <c r="AY305" s="113" t="n"/>
      <c r="AZ305" s="115">
        <f>IF($B305="","",COUNTIF(References!$A$4:$A$503,$A305))</f>
        <v/>
      </c>
      <c r="BA305" s="115">
        <f>IF($B305="","",(LEN(A305)=0)+(LEN(B305)=0)+(LEN(D305)=0)+(LEN(G305)=0)+(LEN(H305)=0)+(LEN(I305)=0)+(LEN(J305)=0)+(LEN(L305)=0)+(LEN(M305)=0)+(LEN(O305)=0)+(LEN(R305)=0)+(LEN(X305)=0)+(LEN(AI305)=0)+(LEN(AJ305)=0)+(LEN(AQ305)=0)+(LEN(AR305)=0)+(LEN(AT305)=0)+(LEN(AU305)=0)+(LEN(AV305)=0)+(LEN(AX305)=0))</f>
        <v/>
      </c>
      <c r="BB305" s="115">
        <f>IF($B305="","",IF(AND(BA305=0,AZ305&gt;=1),"Complete","Incomplete"))</f>
        <v/>
      </c>
    </row>
    <row r="306" ht="15" customHeight="1" s="62">
      <c r="A306" s="81" t="n"/>
      <c r="B306" s="113" t="n"/>
      <c r="C306" s="81" t="n"/>
      <c r="D306" s="81" t="n"/>
      <c r="E306" s="81" t="n"/>
      <c r="F306" s="81" t="n"/>
      <c r="G306" s="81" t="n"/>
      <c r="H306" s="81" t="n"/>
      <c r="I306" s="81" t="n"/>
      <c r="J306" s="81" t="n"/>
      <c r="K306" s="81" t="n"/>
      <c r="L306" s="113" t="n"/>
      <c r="M306" s="81" t="n"/>
      <c r="N306" s="81" t="n"/>
      <c r="O306" s="81" t="n"/>
      <c r="P306" s="81" t="n"/>
      <c r="Q306" s="113" t="n"/>
      <c r="R306" s="113" t="n"/>
      <c r="S306" s="113" t="n"/>
      <c r="T306" s="81" t="n"/>
      <c r="U306" s="81" t="n"/>
      <c r="V306" s="113" t="n"/>
      <c r="W306" s="81" t="n"/>
      <c r="X306" s="81" t="n"/>
      <c r="Y306" s="81" t="n"/>
      <c r="Z306" s="81" t="n"/>
      <c r="AA306" s="81" t="n"/>
      <c r="AB306" s="81" t="n"/>
      <c r="AC306" s="81" t="n"/>
      <c r="AD306" s="81" t="n"/>
      <c r="AE306" s="81" t="n"/>
      <c r="AF306" s="81" t="n"/>
      <c r="AG306" s="81" t="n"/>
      <c r="AH306" s="113" t="n"/>
      <c r="AI306" s="81" t="n"/>
      <c r="AJ306" s="81" t="n"/>
      <c r="AK306" s="113" t="n"/>
      <c r="AL306" s="81" t="n"/>
      <c r="AM306" s="81" t="n"/>
      <c r="AN306" s="81" t="n"/>
      <c r="AO306" s="113" t="n"/>
      <c r="AP306" s="113" t="n"/>
      <c r="AQ306" s="81" t="n"/>
      <c r="AR306" s="113" t="n"/>
      <c r="AS306" s="113" t="n"/>
      <c r="AT306" s="114" t="n"/>
      <c r="AU306" s="81" t="n"/>
      <c r="AV306" s="114" t="n"/>
      <c r="AW306" s="114" t="n"/>
      <c r="AX306" s="81" t="n"/>
      <c r="AY306" s="113" t="n"/>
      <c r="AZ306" s="115">
        <f>IF($B306="","",COUNTIF(References!$A$4:$A$503,$A306))</f>
        <v/>
      </c>
      <c r="BA306" s="115">
        <f>IF($B306="","",(LEN(A306)=0)+(LEN(B306)=0)+(LEN(D306)=0)+(LEN(G306)=0)+(LEN(H306)=0)+(LEN(I306)=0)+(LEN(J306)=0)+(LEN(L306)=0)+(LEN(M306)=0)+(LEN(O306)=0)+(LEN(R306)=0)+(LEN(X306)=0)+(LEN(AI306)=0)+(LEN(AJ306)=0)+(LEN(AQ306)=0)+(LEN(AR306)=0)+(LEN(AT306)=0)+(LEN(AU306)=0)+(LEN(AV306)=0)+(LEN(AX306)=0))</f>
        <v/>
      </c>
      <c r="BB306" s="115">
        <f>IF($B306="","",IF(AND(BA306=0,AZ306&gt;=1),"Complete","Incomplete"))</f>
        <v/>
      </c>
    </row>
    <row r="307" ht="15" customHeight="1" s="62">
      <c r="A307" s="81" t="n"/>
      <c r="B307" s="113" t="n"/>
      <c r="C307" s="81" t="n"/>
      <c r="D307" s="81" t="n"/>
      <c r="E307" s="81" t="n"/>
      <c r="F307" s="81" t="n"/>
      <c r="G307" s="81" t="n"/>
      <c r="H307" s="81" t="n"/>
      <c r="I307" s="81" t="n"/>
      <c r="J307" s="81" t="n"/>
      <c r="K307" s="81" t="n"/>
      <c r="L307" s="113" t="n"/>
      <c r="M307" s="81" t="n"/>
      <c r="N307" s="81" t="n"/>
      <c r="O307" s="81" t="n"/>
      <c r="P307" s="81" t="n"/>
      <c r="Q307" s="113" t="n"/>
      <c r="R307" s="113" t="n"/>
      <c r="S307" s="113" t="n"/>
      <c r="T307" s="81" t="n"/>
      <c r="U307" s="81" t="n"/>
      <c r="V307" s="113" t="n"/>
      <c r="W307" s="81" t="n"/>
      <c r="X307" s="81" t="n"/>
      <c r="Y307" s="81" t="n"/>
      <c r="Z307" s="81" t="n"/>
      <c r="AA307" s="81" t="n"/>
      <c r="AB307" s="81" t="n"/>
      <c r="AC307" s="81" t="n"/>
      <c r="AD307" s="81" t="n"/>
      <c r="AE307" s="81" t="n"/>
      <c r="AF307" s="81" t="n"/>
      <c r="AG307" s="81" t="n"/>
      <c r="AH307" s="113" t="n"/>
      <c r="AI307" s="81" t="n"/>
      <c r="AJ307" s="81" t="n"/>
      <c r="AK307" s="113" t="n"/>
      <c r="AL307" s="81" t="n"/>
      <c r="AM307" s="81" t="n"/>
      <c r="AN307" s="81" t="n"/>
      <c r="AO307" s="113" t="n"/>
      <c r="AP307" s="113" t="n"/>
      <c r="AQ307" s="81" t="n"/>
      <c r="AR307" s="113" t="n"/>
      <c r="AS307" s="113" t="n"/>
      <c r="AT307" s="114" t="n"/>
      <c r="AU307" s="81" t="n"/>
      <c r="AV307" s="114" t="n"/>
      <c r="AW307" s="114" t="n"/>
      <c r="AX307" s="81" t="n"/>
      <c r="AY307" s="113" t="n"/>
      <c r="AZ307" s="115">
        <f>IF($B307="","",COUNTIF(References!$A$4:$A$503,$A307))</f>
        <v/>
      </c>
      <c r="BA307" s="115">
        <f>IF($B307="","",(LEN(A307)=0)+(LEN(B307)=0)+(LEN(D307)=0)+(LEN(G307)=0)+(LEN(H307)=0)+(LEN(I307)=0)+(LEN(J307)=0)+(LEN(L307)=0)+(LEN(M307)=0)+(LEN(O307)=0)+(LEN(R307)=0)+(LEN(X307)=0)+(LEN(AI307)=0)+(LEN(AJ307)=0)+(LEN(AQ307)=0)+(LEN(AR307)=0)+(LEN(AT307)=0)+(LEN(AU307)=0)+(LEN(AV307)=0)+(LEN(AX307)=0))</f>
        <v/>
      </c>
      <c r="BB307" s="115">
        <f>IF($B307="","",IF(AND(BA307=0,AZ307&gt;=1),"Complete","Incomplete"))</f>
        <v/>
      </c>
    </row>
    <row r="308" ht="15" customHeight="1" s="62">
      <c r="A308" s="81" t="n"/>
      <c r="B308" s="113" t="n"/>
      <c r="C308" s="81" t="n"/>
      <c r="D308" s="81" t="n"/>
      <c r="E308" s="81" t="n"/>
      <c r="F308" s="81" t="n"/>
      <c r="G308" s="81" t="n"/>
      <c r="H308" s="81" t="n"/>
      <c r="I308" s="81" t="n"/>
      <c r="J308" s="81" t="n"/>
      <c r="K308" s="81" t="n"/>
      <c r="L308" s="113" t="n"/>
      <c r="M308" s="81" t="n"/>
      <c r="N308" s="81" t="n"/>
      <c r="O308" s="81" t="n"/>
      <c r="P308" s="81" t="n"/>
      <c r="Q308" s="113" t="n"/>
      <c r="R308" s="113" t="n"/>
      <c r="S308" s="113" t="n"/>
      <c r="T308" s="81" t="n"/>
      <c r="U308" s="81" t="n"/>
      <c r="V308" s="113" t="n"/>
      <c r="W308" s="81" t="n"/>
      <c r="X308" s="81" t="n"/>
      <c r="Y308" s="81" t="n"/>
      <c r="Z308" s="81" t="n"/>
      <c r="AA308" s="81" t="n"/>
      <c r="AB308" s="81" t="n"/>
      <c r="AC308" s="81" t="n"/>
      <c r="AD308" s="81" t="n"/>
      <c r="AE308" s="81" t="n"/>
      <c r="AF308" s="81" t="n"/>
      <c r="AG308" s="81" t="n"/>
      <c r="AH308" s="113" t="n"/>
      <c r="AI308" s="81" t="n"/>
      <c r="AJ308" s="81" t="n"/>
      <c r="AK308" s="113" t="n"/>
      <c r="AL308" s="81" t="n"/>
      <c r="AM308" s="81" t="n"/>
      <c r="AN308" s="81" t="n"/>
      <c r="AO308" s="113" t="n"/>
      <c r="AP308" s="113" t="n"/>
      <c r="AQ308" s="81" t="n"/>
      <c r="AR308" s="113" t="n"/>
      <c r="AS308" s="113" t="n"/>
      <c r="AT308" s="114" t="n"/>
      <c r="AU308" s="81" t="n"/>
      <c r="AV308" s="114" t="n"/>
      <c r="AW308" s="114" t="n"/>
      <c r="AX308" s="81" t="n"/>
      <c r="AY308" s="113" t="n"/>
      <c r="AZ308" s="115">
        <f>IF($B308="","",COUNTIF(References!$A$4:$A$503,$A308))</f>
        <v/>
      </c>
      <c r="BA308" s="115">
        <f>IF($B308="","",(LEN(A308)=0)+(LEN(B308)=0)+(LEN(D308)=0)+(LEN(G308)=0)+(LEN(H308)=0)+(LEN(I308)=0)+(LEN(J308)=0)+(LEN(L308)=0)+(LEN(M308)=0)+(LEN(O308)=0)+(LEN(R308)=0)+(LEN(X308)=0)+(LEN(AI308)=0)+(LEN(AJ308)=0)+(LEN(AQ308)=0)+(LEN(AR308)=0)+(LEN(AT308)=0)+(LEN(AU308)=0)+(LEN(AV308)=0)+(LEN(AX308)=0))</f>
        <v/>
      </c>
      <c r="BB308" s="115">
        <f>IF($B308="","",IF(AND(BA308=0,AZ308&gt;=1),"Complete","Incomplete"))</f>
        <v/>
      </c>
    </row>
    <row r="309" ht="15" customHeight="1" s="62">
      <c r="A309" s="81" t="n"/>
      <c r="B309" s="113" t="n"/>
      <c r="C309" s="81" t="n"/>
      <c r="D309" s="81" t="n"/>
      <c r="E309" s="81" t="n"/>
      <c r="F309" s="81" t="n"/>
      <c r="G309" s="81" t="n"/>
      <c r="H309" s="81" t="n"/>
      <c r="I309" s="81" t="n"/>
      <c r="J309" s="81" t="n"/>
      <c r="K309" s="81" t="n"/>
      <c r="L309" s="113" t="n"/>
      <c r="M309" s="81" t="n"/>
      <c r="N309" s="81" t="n"/>
      <c r="O309" s="81" t="n"/>
      <c r="P309" s="81" t="n"/>
      <c r="Q309" s="113" t="n"/>
      <c r="R309" s="113" t="n"/>
      <c r="S309" s="113" t="n"/>
      <c r="T309" s="81" t="n"/>
      <c r="U309" s="81" t="n"/>
      <c r="V309" s="113" t="n"/>
      <c r="W309" s="81" t="n"/>
      <c r="X309" s="81" t="n"/>
      <c r="Y309" s="81" t="n"/>
      <c r="Z309" s="81" t="n"/>
      <c r="AA309" s="81" t="n"/>
      <c r="AB309" s="81" t="n"/>
      <c r="AC309" s="81" t="n"/>
      <c r="AD309" s="81" t="n"/>
      <c r="AE309" s="81" t="n"/>
      <c r="AF309" s="81" t="n"/>
      <c r="AG309" s="81" t="n"/>
      <c r="AH309" s="113" t="n"/>
      <c r="AI309" s="81" t="n"/>
      <c r="AJ309" s="81" t="n"/>
      <c r="AK309" s="113" t="n"/>
      <c r="AL309" s="81" t="n"/>
      <c r="AM309" s="81" t="n"/>
      <c r="AN309" s="81" t="n"/>
      <c r="AO309" s="113" t="n"/>
      <c r="AP309" s="113" t="n"/>
      <c r="AQ309" s="81" t="n"/>
      <c r="AR309" s="113" t="n"/>
      <c r="AS309" s="113" t="n"/>
      <c r="AT309" s="114" t="n"/>
      <c r="AU309" s="81" t="n"/>
      <c r="AV309" s="114" t="n"/>
      <c r="AW309" s="114" t="n"/>
      <c r="AX309" s="81" t="n"/>
      <c r="AY309" s="113" t="n"/>
      <c r="AZ309" s="115">
        <f>IF($B309="","",COUNTIF(References!$A$4:$A$503,$A309))</f>
        <v/>
      </c>
      <c r="BA309" s="115">
        <f>IF($B309="","",(LEN(A309)=0)+(LEN(B309)=0)+(LEN(D309)=0)+(LEN(G309)=0)+(LEN(H309)=0)+(LEN(I309)=0)+(LEN(J309)=0)+(LEN(L309)=0)+(LEN(M309)=0)+(LEN(O309)=0)+(LEN(R309)=0)+(LEN(X309)=0)+(LEN(AI309)=0)+(LEN(AJ309)=0)+(LEN(AQ309)=0)+(LEN(AR309)=0)+(LEN(AT309)=0)+(LEN(AU309)=0)+(LEN(AV309)=0)+(LEN(AX309)=0))</f>
        <v/>
      </c>
      <c r="BB309" s="115">
        <f>IF($B309="","",IF(AND(BA309=0,AZ309&gt;=1),"Complete","Incomplete"))</f>
        <v/>
      </c>
    </row>
    <row r="310" ht="15" customHeight="1" s="62">
      <c r="A310" s="81" t="n"/>
      <c r="B310" s="113" t="n"/>
      <c r="C310" s="81" t="n"/>
      <c r="D310" s="81" t="n"/>
      <c r="E310" s="81" t="n"/>
      <c r="F310" s="81" t="n"/>
      <c r="G310" s="81" t="n"/>
      <c r="H310" s="81" t="n"/>
      <c r="I310" s="81" t="n"/>
      <c r="J310" s="81" t="n"/>
      <c r="K310" s="81" t="n"/>
      <c r="L310" s="113" t="n"/>
      <c r="M310" s="81" t="n"/>
      <c r="N310" s="81" t="n"/>
      <c r="O310" s="81" t="n"/>
      <c r="P310" s="81" t="n"/>
      <c r="Q310" s="113" t="n"/>
      <c r="R310" s="113" t="n"/>
      <c r="S310" s="113" t="n"/>
      <c r="T310" s="81" t="n"/>
      <c r="U310" s="81" t="n"/>
      <c r="V310" s="113" t="n"/>
      <c r="W310" s="81" t="n"/>
      <c r="X310" s="81" t="n"/>
      <c r="Y310" s="81" t="n"/>
      <c r="Z310" s="81" t="n"/>
      <c r="AA310" s="81" t="n"/>
      <c r="AB310" s="81" t="n"/>
      <c r="AC310" s="81" t="n"/>
      <c r="AD310" s="81" t="n"/>
      <c r="AE310" s="81" t="n"/>
      <c r="AF310" s="81" t="n"/>
      <c r="AG310" s="81" t="n"/>
      <c r="AH310" s="113" t="n"/>
      <c r="AI310" s="81" t="n"/>
      <c r="AJ310" s="81" t="n"/>
      <c r="AK310" s="113" t="n"/>
      <c r="AL310" s="81" t="n"/>
      <c r="AM310" s="81" t="n"/>
      <c r="AN310" s="81" t="n"/>
      <c r="AO310" s="113" t="n"/>
      <c r="AP310" s="113" t="n"/>
      <c r="AQ310" s="81" t="n"/>
      <c r="AR310" s="113" t="n"/>
      <c r="AS310" s="113" t="n"/>
      <c r="AT310" s="114" t="n"/>
      <c r="AU310" s="81" t="n"/>
      <c r="AV310" s="114" t="n"/>
      <c r="AW310" s="114" t="n"/>
      <c r="AX310" s="81" t="n"/>
      <c r="AY310" s="113" t="n"/>
      <c r="AZ310" s="115">
        <f>IF($B310="","",COUNTIF(References!$A$4:$A$503,$A310))</f>
        <v/>
      </c>
      <c r="BA310" s="115">
        <f>IF($B310="","",(LEN(A310)=0)+(LEN(B310)=0)+(LEN(D310)=0)+(LEN(G310)=0)+(LEN(H310)=0)+(LEN(I310)=0)+(LEN(J310)=0)+(LEN(L310)=0)+(LEN(M310)=0)+(LEN(O310)=0)+(LEN(R310)=0)+(LEN(X310)=0)+(LEN(AI310)=0)+(LEN(AJ310)=0)+(LEN(AQ310)=0)+(LEN(AR310)=0)+(LEN(AT310)=0)+(LEN(AU310)=0)+(LEN(AV310)=0)+(LEN(AX310)=0))</f>
        <v/>
      </c>
      <c r="BB310" s="115">
        <f>IF($B310="","",IF(AND(BA310=0,AZ310&gt;=1),"Complete","Incomplete"))</f>
        <v/>
      </c>
    </row>
    <row r="311" ht="15" customHeight="1" s="62">
      <c r="A311" s="81" t="n"/>
      <c r="B311" s="113" t="n"/>
      <c r="C311" s="81" t="n"/>
      <c r="D311" s="81" t="n"/>
      <c r="E311" s="81" t="n"/>
      <c r="F311" s="81" t="n"/>
      <c r="G311" s="81" t="n"/>
      <c r="H311" s="81" t="n"/>
      <c r="I311" s="81" t="n"/>
      <c r="J311" s="81" t="n"/>
      <c r="K311" s="81" t="n"/>
      <c r="L311" s="113" t="n"/>
      <c r="M311" s="81" t="n"/>
      <c r="N311" s="81" t="n"/>
      <c r="O311" s="81" t="n"/>
      <c r="P311" s="81" t="n"/>
      <c r="Q311" s="113" t="n"/>
      <c r="R311" s="113" t="n"/>
      <c r="S311" s="113" t="n"/>
      <c r="T311" s="81" t="n"/>
      <c r="U311" s="81" t="n"/>
      <c r="V311" s="113" t="n"/>
      <c r="W311" s="81" t="n"/>
      <c r="X311" s="81" t="n"/>
      <c r="Y311" s="81" t="n"/>
      <c r="Z311" s="81" t="n"/>
      <c r="AA311" s="81" t="n"/>
      <c r="AB311" s="81" t="n"/>
      <c r="AC311" s="81" t="n"/>
      <c r="AD311" s="81" t="n"/>
      <c r="AE311" s="81" t="n"/>
      <c r="AF311" s="81" t="n"/>
      <c r="AG311" s="81" t="n"/>
      <c r="AH311" s="113" t="n"/>
      <c r="AI311" s="81" t="n"/>
      <c r="AJ311" s="81" t="n"/>
      <c r="AK311" s="113" t="n"/>
      <c r="AL311" s="81" t="n"/>
      <c r="AM311" s="81" t="n"/>
      <c r="AN311" s="81" t="n"/>
      <c r="AO311" s="113" t="n"/>
      <c r="AP311" s="113" t="n"/>
      <c r="AQ311" s="81" t="n"/>
      <c r="AR311" s="113" t="n"/>
      <c r="AS311" s="113" t="n"/>
      <c r="AT311" s="114" t="n"/>
      <c r="AU311" s="81" t="n"/>
      <c r="AV311" s="114" t="n"/>
      <c r="AW311" s="114" t="n"/>
      <c r="AX311" s="81" t="n"/>
      <c r="AY311" s="113" t="n"/>
      <c r="AZ311" s="115">
        <f>IF($B311="","",COUNTIF(References!$A$4:$A$503,$A311))</f>
        <v/>
      </c>
      <c r="BA311" s="115">
        <f>IF($B311="","",(LEN(A311)=0)+(LEN(B311)=0)+(LEN(D311)=0)+(LEN(G311)=0)+(LEN(H311)=0)+(LEN(I311)=0)+(LEN(J311)=0)+(LEN(L311)=0)+(LEN(M311)=0)+(LEN(O311)=0)+(LEN(R311)=0)+(LEN(X311)=0)+(LEN(AI311)=0)+(LEN(AJ311)=0)+(LEN(AQ311)=0)+(LEN(AR311)=0)+(LEN(AT311)=0)+(LEN(AU311)=0)+(LEN(AV311)=0)+(LEN(AX311)=0))</f>
        <v/>
      </c>
      <c r="BB311" s="115">
        <f>IF($B311="","",IF(AND(BA311=0,AZ311&gt;=1),"Complete","Incomplete"))</f>
        <v/>
      </c>
    </row>
    <row r="312" ht="15" customHeight="1" s="62">
      <c r="A312" s="81" t="n"/>
      <c r="B312" s="113" t="n"/>
      <c r="C312" s="81" t="n"/>
      <c r="D312" s="81" t="n"/>
      <c r="E312" s="81" t="n"/>
      <c r="F312" s="81" t="n"/>
      <c r="G312" s="81" t="n"/>
      <c r="H312" s="81" t="n"/>
      <c r="I312" s="81" t="n"/>
      <c r="J312" s="81" t="n"/>
      <c r="K312" s="81" t="n"/>
      <c r="L312" s="113" t="n"/>
      <c r="M312" s="81" t="n"/>
      <c r="N312" s="81" t="n"/>
      <c r="O312" s="81" t="n"/>
      <c r="P312" s="81" t="n"/>
      <c r="Q312" s="113" t="n"/>
      <c r="R312" s="113" t="n"/>
      <c r="S312" s="113" t="n"/>
      <c r="T312" s="81" t="n"/>
      <c r="U312" s="81" t="n"/>
      <c r="V312" s="113" t="n"/>
      <c r="W312" s="81" t="n"/>
      <c r="X312" s="81" t="n"/>
      <c r="Y312" s="81" t="n"/>
      <c r="Z312" s="81" t="n"/>
      <c r="AA312" s="81" t="n"/>
      <c r="AB312" s="81" t="n"/>
      <c r="AC312" s="81" t="n"/>
      <c r="AD312" s="81" t="n"/>
      <c r="AE312" s="81" t="n"/>
      <c r="AF312" s="81" t="n"/>
      <c r="AG312" s="81" t="n"/>
      <c r="AH312" s="113" t="n"/>
      <c r="AI312" s="81" t="n"/>
      <c r="AJ312" s="81" t="n"/>
      <c r="AK312" s="113" t="n"/>
      <c r="AL312" s="81" t="n"/>
      <c r="AM312" s="81" t="n"/>
      <c r="AN312" s="81" t="n"/>
      <c r="AO312" s="113" t="n"/>
      <c r="AP312" s="113" t="n"/>
      <c r="AQ312" s="81" t="n"/>
      <c r="AR312" s="113" t="n"/>
      <c r="AS312" s="113" t="n"/>
      <c r="AT312" s="114" t="n"/>
      <c r="AU312" s="81" t="n"/>
      <c r="AV312" s="114" t="n"/>
      <c r="AW312" s="114" t="n"/>
      <c r="AX312" s="81" t="n"/>
      <c r="AY312" s="113" t="n"/>
      <c r="AZ312" s="115">
        <f>IF($B312="","",COUNTIF(References!$A$4:$A$503,$A312))</f>
        <v/>
      </c>
      <c r="BA312" s="115">
        <f>IF($B312="","",(LEN(A312)=0)+(LEN(B312)=0)+(LEN(D312)=0)+(LEN(G312)=0)+(LEN(H312)=0)+(LEN(I312)=0)+(LEN(J312)=0)+(LEN(L312)=0)+(LEN(M312)=0)+(LEN(O312)=0)+(LEN(R312)=0)+(LEN(X312)=0)+(LEN(AI312)=0)+(LEN(AJ312)=0)+(LEN(AQ312)=0)+(LEN(AR312)=0)+(LEN(AT312)=0)+(LEN(AU312)=0)+(LEN(AV312)=0)+(LEN(AX312)=0))</f>
        <v/>
      </c>
      <c r="BB312" s="115">
        <f>IF($B312="","",IF(AND(BA312=0,AZ312&gt;=1),"Complete","Incomplete"))</f>
        <v/>
      </c>
    </row>
    <row r="313" ht="15" customHeight="1" s="62">
      <c r="A313" s="81" t="n"/>
      <c r="B313" s="113" t="n"/>
      <c r="C313" s="81" t="n"/>
      <c r="D313" s="81" t="n"/>
      <c r="E313" s="81" t="n"/>
      <c r="F313" s="81" t="n"/>
      <c r="G313" s="81" t="n"/>
      <c r="H313" s="81" t="n"/>
      <c r="I313" s="81" t="n"/>
      <c r="J313" s="81" t="n"/>
      <c r="K313" s="81" t="n"/>
      <c r="L313" s="113" t="n"/>
      <c r="M313" s="81" t="n"/>
      <c r="N313" s="81" t="n"/>
      <c r="O313" s="81" t="n"/>
      <c r="P313" s="81" t="n"/>
      <c r="Q313" s="113" t="n"/>
      <c r="R313" s="113" t="n"/>
      <c r="S313" s="113" t="n"/>
      <c r="T313" s="81" t="n"/>
      <c r="U313" s="81" t="n"/>
      <c r="V313" s="113" t="n"/>
      <c r="W313" s="81" t="n"/>
      <c r="X313" s="81" t="n"/>
      <c r="Y313" s="81" t="n"/>
      <c r="Z313" s="81" t="n"/>
      <c r="AA313" s="81" t="n"/>
      <c r="AB313" s="81" t="n"/>
      <c r="AC313" s="81" t="n"/>
      <c r="AD313" s="81" t="n"/>
      <c r="AE313" s="81" t="n"/>
      <c r="AF313" s="81" t="n"/>
      <c r="AG313" s="81" t="n"/>
      <c r="AH313" s="113" t="n"/>
      <c r="AI313" s="81" t="n"/>
      <c r="AJ313" s="81" t="n"/>
      <c r="AK313" s="113" t="n"/>
      <c r="AL313" s="81" t="n"/>
      <c r="AM313" s="81" t="n"/>
      <c r="AN313" s="81" t="n"/>
      <c r="AO313" s="113" t="n"/>
      <c r="AP313" s="113" t="n"/>
      <c r="AQ313" s="81" t="n"/>
      <c r="AR313" s="113" t="n"/>
      <c r="AS313" s="113" t="n"/>
      <c r="AT313" s="114" t="n"/>
      <c r="AU313" s="81" t="n"/>
      <c r="AV313" s="114" t="n"/>
      <c r="AW313" s="114" t="n"/>
      <c r="AX313" s="81" t="n"/>
      <c r="AY313" s="113" t="n"/>
      <c r="AZ313" s="115">
        <f>IF($B313="","",COUNTIF(References!$A$4:$A$503,$A313))</f>
        <v/>
      </c>
      <c r="BA313" s="115">
        <f>IF($B313="","",(LEN(A313)=0)+(LEN(B313)=0)+(LEN(D313)=0)+(LEN(G313)=0)+(LEN(H313)=0)+(LEN(I313)=0)+(LEN(J313)=0)+(LEN(L313)=0)+(LEN(M313)=0)+(LEN(O313)=0)+(LEN(R313)=0)+(LEN(X313)=0)+(LEN(AI313)=0)+(LEN(AJ313)=0)+(LEN(AQ313)=0)+(LEN(AR313)=0)+(LEN(AT313)=0)+(LEN(AU313)=0)+(LEN(AV313)=0)+(LEN(AX313)=0))</f>
        <v/>
      </c>
      <c r="BB313" s="115">
        <f>IF($B313="","",IF(AND(BA313=0,AZ313&gt;=1),"Complete","Incomplete"))</f>
        <v/>
      </c>
    </row>
    <row r="314" ht="15" customHeight="1" s="62">
      <c r="A314" s="81" t="n"/>
      <c r="B314" s="113" t="n"/>
      <c r="C314" s="81" t="n"/>
      <c r="D314" s="81" t="n"/>
      <c r="E314" s="81" t="n"/>
      <c r="F314" s="81" t="n"/>
      <c r="G314" s="81" t="n"/>
      <c r="H314" s="81" t="n"/>
      <c r="I314" s="81" t="n"/>
      <c r="J314" s="81" t="n"/>
      <c r="K314" s="81" t="n"/>
      <c r="L314" s="113" t="n"/>
      <c r="M314" s="81" t="n"/>
      <c r="N314" s="81" t="n"/>
      <c r="O314" s="81" t="n"/>
      <c r="P314" s="81" t="n"/>
      <c r="Q314" s="113" t="n"/>
      <c r="R314" s="113" t="n"/>
      <c r="S314" s="113" t="n"/>
      <c r="T314" s="81" t="n"/>
      <c r="U314" s="81" t="n"/>
      <c r="V314" s="113" t="n"/>
      <c r="W314" s="81" t="n"/>
      <c r="X314" s="81" t="n"/>
      <c r="Y314" s="81" t="n"/>
      <c r="Z314" s="81" t="n"/>
      <c r="AA314" s="81" t="n"/>
      <c r="AB314" s="81" t="n"/>
      <c r="AC314" s="81" t="n"/>
      <c r="AD314" s="81" t="n"/>
      <c r="AE314" s="81" t="n"/>
      <c r="AF314" s="81" t="n"/>
      <c r="AG314" s="81" t="n"/>
      <c r="AH314" s="113" t="n"/>
      <c r="AI314" s="81" t="n"/>
      <c r="AJ314" s="81" t="n"/>
      <c r="AK314" s="113" t="n"/>
      <c r="AL314" s="81" t="n"/>
      <c r="AM314" s="81" t="n"/>
      <c r="AN314" s="81" t="n"/>
      <c r="AO314" s="113" t="n"/>
      <c r="AP314" s="113" t="n"/>
      <c r="AQ314" s="81" t="n"/>
      <c r="AR314" s="113" t="n"/>
      <c r="AS314" s="113" t="n"/>
      <c r="AT314" s="114" t="n"/>
      <c r="AU314" s="81" t="n"/>
      <c r="AV314" s="114" t="n"/>
      <c r="AW314" s="114" t="n"/>
      <c r="AX314" s="81" t="n"/>
      <c r="AY314" s="113" t="n"/>
      <c r="AZ314" s="115">
        <f>IF($B314="","",COUNTIF(References!$A$4:$A$503,$A314))</f>
        <v/>
      </c>
      <c r="BA314" s="115">
        <f>IF($B314="","",(LEN(A314)=0)+(LEN(B314)=0)+(LEN(D314)=0)+(LEN(G314)=0)+(LEN(H314)=0)+(LEN(I314)=0)+(LEN(J314)=0)+(LEN(L314)=0)+(LEN(M314)=0)+(LEN(O314)=0)+(LEN(R314)=0)+(LEN(X314)=0)+(LEN(AI314)=0)+(LEN(AJ314)=0)+(LEN(AQ314)=0)+(LEN(AR314)=0)+(LEN(AT314)=0)+(LEN(AU314)=0)+(LEN(AV314)=0)+(LEN(AX314)=0))</f>
        <v/>
      </c>
      <c r="BB314" s="115">
        <f>IF($B314="","",IF(AND(BA314=0,AZ314&gt;=1),"Complete","Incomplete"))</f>
        <v/>
      </c>
    </row>
    <row r="315" ht="15" customHeight="1" s="62">
      <c r="A315" s="81" t="n"/>
      <c r="B315" s="113" t="n"/>
      <c r="C315" s="81" t="n"/>
      <c r="D315" s="81" t="n"/>
      <c r="E315" s="81" t="n"/>
      <c r="F315" s="81" t="n"/>
      <c r="G315" s="81" t="n"/>
      <c r="H315" s="81" t="n"/>
      <c r="I315" s="81" t="n"/>
      <c r="J315" s="81" t="n"/>
      <c r="K315" s="81" t="n"/>
      <c r="L315" s="113" t="n"/>
      <c r="M315" s="81" t="n"/>
      <c r="N315" s="81" t="n"/>
      <c r="O315" s="81" t="n"/>
      <c r="P315" s="81" t="n"/>
      <c r="Q315" s="113" t="n"/>
      <c r="R315" s="113" t="n"/>
      <c r="S315" s="113" t="n"/>
      <c r="T315" s="81" t="n"/>
      <c r="U315" s="81" t="n"/>
      <c r="V315" s="113" t="n"/>
      <c r="W315" s="81" t="n"/>
      <c r="X315" s="81" t="n"/>
      <c r="Y315" s="81" t="n"/>
      <c r="Z315" s="81" t="n"/>
      <c r="AA315" s="81" t="n"/>
      <c r="AB315" s="81" t="n"/>
      <c r="AC315" s="81" t="n"/>
      <c r="AD315" s="81" t="n"/>
      <c r="AE315" s="81" t="n"/>
      <c r="AF315" s="81" t="n"/>
      <c r="AG315" s="81" t="n"/>
      <c r="AH315" s="113" t="n"/>
      <c r="AI315" s="81" t="n"/>
      <c r="AJ315" s="81" t="n"/>
      <c r="AK315" s="113" t="n"/>
      <c r="AL315" s="81" t="n"/>
      <c r="AM315" s="81" t="n"/>
      <c r="AN315" s="81" t="n"/>
      <c r="AO315" s="113" t="n"/>
      <c r="AP315" s="113" t="n"/>
      <c r="AQ315" s="81" t="n"/>
      <c r="AR315" s="113" t="n"/>
      <c r="AS315" s="113" t="n"/>
      <c r="AT315" s="114" t="n"/>
      <c r="AU315" s="81" t="n"/>
      <c r="AV315" s="114" t="n"/>
      <c r="AW315" s="114" t="n"/>
      <c r="AX315" s="81" t="n"/>
      <c r="AY315" s="113" t="n"/>
      <c r="AZ315" s="115">
        <f>IF($B315="","",COUNTIF(References!$A$4:$A$503,$A315))</f>
        <v/>
      </c>
      <c r="BA315" s="115">
        <f>IF($B315="","",(LEN(A315)=0)+(LEN(B315)=0)+(LEN(D315)=0)+(LEN(G315)=0)+(LEN(H315)=0)+(LEN(I315)=0)+(LEN(J315)=0)+(LEN(L315)=0)+(LEN(M315)=0)+(LEN(O315)=0)+(LEN(R315)=0)+(LEN(X315)=0)+(LEN(AI315)=0)+(LEN(AJ315)=0)+(LEN(AQ315)=0)+(LEN(AR315)=0)+(LEN(AT315)=0)+(LEN(AU315)=0)+(LEN(AV315)=0)+(LEN(AX315)=0))</f>
        <v/>
      </c>
      <c r="BB315" s="115">
        <f>IF($B315="","",IF(AND(BA315=0,AZ315&gt;=1),"Complete","Incomplete"))</f>
        <v/>
      </c>
    </row>
    <row r="316" ht="15" customHeight="1" s="62">
      <c r="A316" s="81" t="n"/>
      <c r="B316" s="113" t="n"/>
      <c r="C316" s="81" t="n"/>
      <c r="D316" s="81" t="n"/>
      <c r="E316" s="81" t="n"/>
      <c r="F316" s="81" t="n"/>
      <c r="G316" s="81" t="n"/>
      <c r="H316" s="81" t="n"/>
      <c r="I316" s="81" t="n"/>
      <c r="J316" s="81" t="n"/>
      <c r="K316" s="81" t="n"/>
      <c r="L316" s="113" t="n"/>
      <c r="M316" s="81" t="n"/>
      <c r="N316" s="81" t="n"/>
      <c r="O316" s="81" t="n"/>
      <c r="P316" s="81" t="n"/>
      <c r="Q316" s="113" t="n"/>
      <c r="R316" s="113" t="n"/>
      <c r="S316" s="113" t="n"/>
      <c r="T316" s="81" t="n"/>
      <c r="U316" s="81" t="n"/>
      <c r="V316" s="113" t="n"/>
      <c r="W316" s="81" t="n"/>
      <c r="X316" s="81" t="n"/>
      <c r="Y316" s="81" t="n"/>
      <c r="Z316" s="81" t="n"/>
      <c r="AA316" s="81" t="n"/>
      <c r="AB316" s="81" t="n"/>
      <c r="AC316" s="81" t="n"/>
      <c r="AD316" s="81" t="n"/>
      <c r="AE316" s="81" t="n"/>
      <c r="AF316" s="81" t="n"/>
      <c r="AG316" s="81" t="n"/>
      <c r="AH316" s="113" t="n"/>
      <c r="AI316" s="81" t="n"/>
      <c r="AJ316" s="81" t="n"/>
      <c r="AK316" s="113" t="n"/>
      <c r="AL316" s="81" t="n"/>
      <c r="AM316" s="81" t="n"/>
      <c r="AN316" s="81" t="n"/>
      <c r="AO316" s="113" t="n"/>
      <c r="AP316" s="113" t="n"/>
      <c r="AQ316" s="81" t="n"/>
      <c r="AR316" s="113" t="n"/>
      <c r="AS316" s="113" t="n"/>
      <c r="AT316" s="114" t="n"/>
      <c r="AU316" s="81" t="n"/>
      <c r="AV316" s="114" t="n"/>
      <c r="AW316" s="114" t="n"/>
      <c r="AX316" s="81" t="n"/>
      <c r="AY316" s="113" t="n"/>
      <c r="AZ316" s="115">
        <f>IF($B316="","",COUNTIF(References!$A$4:$A$503,$A316))</f>
        <v/>
      </c>
      <c r="BA316" s="115">
        <f>IF($B316="","",(LEN(A316)=0)+(LEN(B316)=0)+(LEN(D316)=0)+(LEN(G316)=0)+(LEN(H316)=0)+(LEN(I316)=0)+(LEN(J316)=0)+(LEN(L316)=0)+(LEN(M316)=0)+(LEN(O316)=0)+(LEN(R316)=0)+(LEN(X316)=0)+(LEN(AI316)=0)+(LEN(AJ316)=0)+(LEN(AQ316)=0)+(LEN(AR316)=0)+(LEN(AT316)=0)+(LEN(AU316)=0)+(LEN(AV316)=0)+(LEN(AX316)=0))</f>
        <v/>
      </c>
      <c r="BB316" s="115">
        <f>IF($B316="","",IF(AND(BA316=0,AZ316&gt;=1),"Complete","Incomplete"))</f>
        <v/>
      </c>
    </row>
    <row r="317" ht="15" customHeight="1" s="62">
      <c r="A317" s="81" t="n"/>
      <c r="B317" s="113" t="n"/>
      <c r="C317" s="81" t="n"/>
      <c r="D317" s="81" t="n"/>
      <c r="E317" s="81" t="n"/>
      <c r="F317" s="81" t="n"/>
      <c r="G317" s="81" t="n"/>
      <c r="H317" s="81" t="n"/>
      <c r="I317" s="81" t="n"/>
      <c r="J317" s="81" t="n"/>
      <c r="K317" s="81" t="n"/>
      <c r="L317" s="113" t="n"/>
      <c r="M317" s="81" t="n"/>
      <c r="N317" s="81" t="n"/>
      <c r="O317" s="81" t="n"/>
      <c r="P317" s="81" t="n"/>
      <c r="Q317" s="113" t="n"/>
      <c r="R317" s="113" t="n"/>
      <c r="S317" s="113" t="n"/>
      <c r="T317" s="81" t="n"/>
      <c r="U317" s="81" t="n"/>
      <c r="V317" s="113" t="n"/>
      <c r="W317" s="81" t="n"/>
      <c r="X317" s="81" t="n"/>
      <c r="Y317" s="81" t="n"/>
      <c r="Z317" s="81" t="n"/>
      <c r="AA317" s="81" t="n"/>
      <c r="AB317" s="81" t="n"/>
      <c r="AC317" s="81" t="n"/>
      <c r="AD317" s="81" t="n"/>
      <c r="AE317" s="81" t="n"/>
      <c r="AF317" s="81" t="n"/>
      <c r="AG317" s="81" t="n"/>
      <c r="AH317" s="113" t="n"/>
      <c r="AI317" s="81" t="n"/>
      <c r="AJ317" s="81" t="n"/>
      <c r="AK317" s="113" t="n"/>
      <c r="AL317" s="81" t="n"/>
      <c r="AM317" s="81" t="n"/>
      <c r="AN317" s="81" t="n"/>
      <c r="AO317" s="113" t="n"/>
      <c r="AP317" s="113" t="n"/>
      <c r="AQ317" s="81" t="n"/>
      <c r="AR317" s="113" t="n"/>
      <c r="AS317" s="113" t="n"/>
      <c r="AT317" s="114" t="n"/>
      <c r="AU317" s="81" t="n"/>
      <c r="AV317" s="114" t="n"/>
      <c r="AW317" s="114" t="n"/>
      <c r="AX317" s="81" t="n"/>
      <c r="AY317" s="113" t="n"/>
      <c r="AZ317" s="115">
        <f>IF($B317="","",COUNTIF(References!$A$4:$A$503,$A317))</f>
        <v/>
      </c>
      <c r="BA317" s="115">
        <f>IF($B317="","",(LEN(A317)=0)+(LEN(B317)=0)+(LEN(D317)=0)+(LEN(G317)=0)+(LEN(H317)=0)+(LEN(I317)=0)+(LEN(J317)=0)+(LEN(L317)=0)+(LEN(M317)=0)+(LEN(O317)=0)+(LEN(R317)=0)+(LEN(X317)=0)+(LEN(AI317)=0)+(LEN(AJ317)=0)+(LEN(AQ317)=0)+(LEN(AR317)=0)+(LEN(AT317)=0)+(LEN(AU317)=0)+(LEN(AV317)=0)+(LEN(AX317)=0))</f>
        <v/>
      </c>
      <c r="BB317" s="115">
        <f>IF($B317="","",IF(AND(BA317=0,AZ317&gt;=1),"Complete","Incomplete"))</f>
        <v/>
      </c>
    </row>
    <row r="318" ht="15" customHeight="1" s="62">
      <c r="A318" s="81" t="n"/>
      <c r="B318" s="113" t="n"/>
      <c r="C318" s="81" t="n"/>
      <c r="D318" s="81" t="n"/>
      <c r="E318" s="81" t="n"/>
      <c r="F318" s="81" t="n"/>
      <c r="G318" s="81" t="n"/>
      <c r="H318" s="81" t="n"/>
      <c r="I318" s="81" t="n"/>
      <c r="J318" s="81" t="n"/>
      <c r="K318" s="81" t="n"/>
      <c r="L318" s="113" t="n"/>
      <c r="M318" s="81" t="n"/>
      <c r="N318" s="81" t="n"/>
      <c r="O318" s="81" t="n"/>
      <c r="P318" s="81" t="n"/>
      <c r="Q318" s="113" t="n"/>
      <c r="R318" s="113" t="n"/>
      <c r="S318" s="113" t="n"/>
      <c r="T318" s="81" t="n"/>
      <c r="U318" s="81" t="n"/>
      <c r="V318" s="113" t="n"/>
      <c r="W318" s="81" t="n"/>
      <c r="X318" s="81" t="n"/>
      <c r="Y318" s="81" t="n"/>
      <c r="Z318" s="81" t="n"/>
      <c r="AA318" s="81" t="n"/>
      <c r="AB318" s="81" t="n"/>
      <c r="AC318" s="81" t="n"/>
      <c r="AD318" s="81" t="n"/>
      <c r="AE318" s="81" t="n"/>
      <c r="AF318" s="81" t="n"/>
      <c r="AG318" s="81" t="n"/>
      <c r="AH318" s="113" t="n"/>
      <c r="AI318" s="81" t="n"/>
      <c r="AJ318" s="81" t="n"/>
      <c r="AK318" s="113" t="n"/>
      <c r="AL318" s="81" t="n"/>
      <c r="AM318" s="81" t="n"/>
      <c r="AN318" s="81" t="n"/>
      <c r="AO318" s="113" t="n"/>
      <c r="AP318" s="113" t="n"/>
      <c r="AQ318" s="81" t="n"/>
      <c r="AR318" s="113" t="n"/>
      <c r="AS318" s="113" t="n"/>
      <c r="AT318" s="114" t="n"/>
      <c r="AU318" s="81" t="n"/>
      <c r="AV318" s="114" t="n"/>
      <c r="AW318" s="114" t="n"/>
      <c r="AX318" s="81" t="n"/>
      <c r="AY318" s="113" t="n"/>
      <c r="AZ318" s="115">
        <f>IF($B318="","",COUNTIF(References!$A$4:$A$503,$A318))</f>
        <v/>
      </c>
      <c r="BA318" s="115">
        <f>IF($B318="","",(LEN(A318)=0)+(LEN(B318)=0)+(LEN(D318)=0)+(LEN(G318)=0)+(LEN(H318)=0)+(LEN(I318)=0)+(LEN(J318)=0)+(LEN(L318)=0)+(LEN(M318)=0)+(LEN(O318)=0)+(LEN(R318)=0)+(LEN(X318)=0)+(LEN(AI318)=0)+(LEN(AJ318)=0)+(LEN(AQ318)=0)+(LEN(AR318)=0)+(LEN(AT318)=0)+(LEN(AU318)=0)+(LEN(AV318)=0)+(LEN(AX318)=0))</f>
        <v/>
      </c>
      <c r="BB318" s="115">
        <f>IF($B318="","",IF(AND(BA318=0,AZ318&gt;=1),"Complete","Incomplete"))</f>
        <v/>
      </c>
    </row>
    <row r="319" ht="15" customHeight="1" s="62">
      <c r="A319" s="81" t="n"/>
      <c r="B319" s="113" t="n"/>
      <c r="C319" s="81" t="n"/>
      <c r="D319" s="81" t="n"/>
      <c r="E319" s="81" t="n"/>
      <c r="F319" s="81" t="n"/>
      <c r="G319" s="81" t="n"/>
      <c r="H319" s="81" t="n"/>
      <c r="I319" s="81" t="n"/>
      <c r="J319" s="81" t="n"/>
      <c r="K319" s="81" t="n"/>
      <c r="L319" s="113" t="n"/>
      <c r="M319" s="81" t="n"/>
      <c r="N319" s="81" t="n"/>
      <c r="O319" s="81" t="n"/>
      <c r="P319" s="81" t="n"/>
      <c r="Q319" s="113" t="n"/>
      <c r="R319" s="113" t="n"/>
      <c r="S319" s="113" t="n"/>
      <c r="T319" s="81" t="n"/>
      <c r="U319" s="81" t="n"/>
      <c r="V319" s="113" t="n"/>
      <c r="W319" s="81" t="n"/>
      <c r="X319" s="81" t="n"/>
      <c r="Y319" s="81" t="n"/>
      <c r="Z319" s="81" t="n"/>
      <c r="AA319" s="81" t="n"/>
      <c r="AB319" s="81" t="n"/>
      <c r="AC319" s="81" t="n"/>
      <c r="AD319" s="81" t="n"/>
      <c r="AE319" s="81" t="n"/>
      <c r="AF319" s="81" t="n"/>
      <c r="AG319" s="81" t="n"/>
      <c r="AH319" s="113" t="n"/>
      <c r="AI319" s="81" t="n"/>
      <c r="AJ319" s="81" t="n"/>
      <c r="AK319" s="113" t="n"/>
      <c r="AL319" s="81" t="n"/>
      <c r="AM319" s="81" t="n"/>
      <c r="AN319" s="81" t="n"/>
      <c r="AO319" s="113" t="n"/>
      <c r="AP319" s="113" t="n"/>
      <c r="AQ319" s="81" t="n"/>
      <c r="AR319" s="113" t="n"/>
      <c r="AS319" s="113" t="n"/>
      <c r="AT319" s="114" t="n"/>
      <c r="AU319" s="81" t="n"/>
      <c r="AV319" s="114" t="n"/>
      <c r="AW319" s="114" t="n"/>
      <c r="AX319" s="81" t="n"/>
      <c r="AY319" s="113" t="n"/>
      <c r="AZ319" s="115">
        <f>IF($B319="","",COUNTIF(References!$A$4:$A$503,$A319))</f>
        <v/>
      </c>
      <c r="BA319" s="115">
        <f>IF($B319="","",(LEN(A319)=0)+(LEN(B319)=0)+(LEN(D319)=0)+(LEN(G319)=0)+(LEN(H319)=0)+(LEN(I319)=0)+(LEN(J319)=0)+(LEN(L319)=0)+(LEN(M319)=0)+(LEN(O319)=0)+(LEN(R319)=0)+(LEN(X319)=0)+(LEN(AI319)=0)+(LEN(AJ319)=0)+(LEN(AQ319)=0)+(LEN(AR319)=0)+(LEN(AT319)=0)+(LEN(AU319)=0)+(LEN(AV319)=0)+(LEN(AX319)=0))</f>
        <v/>
      </c>
      <c r="BB319" s="115">
        <f>IF($B319="","",IF(AND(BA319=0,AZ319&gt;=1),"Complete","Incomplete"))</f>
        <v/>
      </c>
    </row>
    <row r="320" ht="15" customHeight="1" s="62">
      <c r="A320" s="81" t="n"/>
      <c r="B320" s="113" t="n"/>
      <c r="C320" s="81" t="n"/>
      <c r="D320" s="81" t="n"/>
      <c r="E320" s="81" t="n"/>
      <c r="F320" s="81" t="n"/>
      <c r="G320" s="81" t="n"/>
      <c r="H320" s="81" t="n"/>
      <c r="I320" s="81" t="n"/>
      <c r="J320" s="81" t="n"/>
      <c r="K320" s="81" t="n"/>
      <c r="L320" s="113" t="n"/>
      <c r="M320" s="81" t="n"/>
      <c r="N320" s="81" t="n"/>
      <c r="O320" s="81" t="n"/>
      <c r="P320" s="81" t="n"/>
      <c r="Q320" s="113" t="n"/>
      <c r="R320" s="113" t="n"/>
      <c r="S320" s="113" t="n"/>
      <c r="T320" s="81" t="n"/>
      <c r="U320" s="81" t="n"/>
      <c r="V320" s="113" t="n"/>
      <c r="W320" s="81" t="n"/>
      <c r="X320" s="81" t="n"/>
      <c r="Y320" s="81" t="n"/>
      <c r="Z320" s="81" t="n"/>
      <c r="AA320" s="81" t="n"/>
      <c r="AB320" s="81" t="n"/>
      <c r="AC320" s="81" t="n"/>
      <c r="AD320" s="81" t="n"/>
      <c r="AE320" s="81" t="n"/>
      <c r="AF320" s="81" t="n"/>
      <c r="AG320" s="81" t="n"/>
      <c r="AH320" s="113" t="n"/>
      <c r="AI320" s="81" t="n"/>
      <c r="AJ320" s="81" t="n"/>
      <c r="AK320" s="113" t="n"/>
      <c r="AL320" s="81" t="n"/>
      <c r="AM320" s="81" t="n"/>
      <c r="AN320" s="81" t="n"/>
      <c r="AO320" s="113" t="n"/>
      <c r="AP320" s="113" t="n"/>
      <c r="AQ320" s="81" t="n"/>
      <c r="AR320" s="113" t="n"/>
      <c r="AS320" s="113" t="n"/>
      <c r="AT320" s="114" t="n"/>
      <c r="AU320" s="81" t="n"/>
      <c r="AV320" s="114" t="n"/>
      <c r="AW320" s="114" t="n"/>
      <c r="AX320" s="81" t="n"/>
      <c r="AY320" s="113" t="n"/>
      <c r="AZ320" s="115">
        <f>IF($B320="","",COUNTIF(References!$A$4:$A$503,$A320))</f>
        <v/>
      </c>
      <c r="BA320" s="115">
        <f>IF($B320="","",(LEN(A320)=0)+(LEN(B320)=0)+(LEN(D320)=0)+(LEN(G320)=0)+(LEN(H320)=0)+(LEN(I320)=0)+(LEN(J320)=0)+(LEN(L320)=0)+(LEN(M320)=0)+(LEN(O320)=0)+(LEN(R320)=0)+(LEN(X320)=0)+(LEN(AI320)=0)+(LEN(AJ320)=0)+(LEN(AQ320)=0)+(LEN(AR320)=0)+(LEN(AT320)=0)+(LEN(AU320)=0)+(LEN(AV320)=0)+(LEN(AX320)=0))</f>
        <v/>
      </c>
      <c r="BB320" s="115">
        <f>IF($B320="","",IF(AND(BA320=0,AZ320&gt;=1),"Complete","Incomplete"))</f>
        <v/>
      </c>
    </row>
    <row r="321" ht="15" customHeight="1" s="62">
      <c r="A321" s="81" t="n"/>
      <c r="B321" s="113" t="n"/>
      <c r="C321" s="81" t="n"/>
      <c r="D321" s="81" t="n"/>
      <c r="E321" s="81" t="n"/>
      <c r="F321" s="81" t="n"/>
      <c r="G321" s="81" t="n"/>
      <c r="H321" s="81" t="n"/>
      <c r="I321" s="81" t="n"/>
      <c r="J321" s="81" t="n"/>
      <c r="K321" s="81" t="n"/>
      <c r="L321" s="113" t="n"/>
      <c r="M321" s="81" t="n"/>
      <c r="N321" s="81" t="n"/>
      <c r="O321" s="81" t="n"/>
      <c r="P321" s="81" t="n"/>
      <c r="Q321" s="113" t="n"/>
      <c r="R321" s="113" t="n"/>
      <c r="S321" s="113" t="n"/>
      <c r="T321" s="81" t="n"/>
      <c r="U321" s="81" t="n"/>
      <c r="V321" s="113" t="n"/>
      <c r="W321" s="81" t="n"/>
      <c r="X321" s="81" t="n"/>
      <c r="Y321" s="81" t="n"/>
      <c r="Z321" s="81" t="n"/>
      <c r="AA321" s="81" t="n"/>
      <c r="AB321" s="81" t="n"/>
      <c r="AC321" s="81" t="n"/>
      <c r="AD321" s="81" t="n"/>
      <c r="AE321" s="81" t="n"/>
      <c r="AF321" s="81" t="n"/>
      <c r="AG321" s="81" t="n"/>
      <c r="AH321" s="113" t="n"/>
      <c r="AI321" s="81" t="n"/>
      <c r="AJ321" s="81" t="n"/>
      <c r="AK321" s="113" t="n"/>
      <c r="AL321" s="81" t="n"/>
      <c r="AM321" s="81" t="n"/>
      <c r="AN321" s="81" t="n"/>
      <c r="AO321" s="113" t="n"/>
      <c r="AP321" s="113" t="n"/>
      <c r="AQ321" s="81" t="n"/>
      <c r="AR321" s="113" t="n"/>
      <c r="AS321" s="113" t="n"/>
      <c r="AT321" s="114" t="n"/>
      <c r="AU321" s="81" t="n"/>
      <c r="AV321" s="114" t="n"/>
      <c r="AW321" s="114" t="n"/>
      <c r="AX321" s="81" t="n"/>
      <c r="AY321" s="113" t="n"/>
      <c r="AZ321" s="115">
        <f>IF($B321="","",COUNTIF(References!$A$4:$A$503,$A321))</f>
        <v/>
      </c>
      <c r="BA321" s="115">
        <f>IF($B321="","",(LEN(A321)=0)+(LEN(B321)=0)+(LEN(D321)=0)+(LEN(G321)=0)+(LEN(H321)=0)+(LEN(I321)=0)+(LEN(J321)=0)+(LEN(L321)=0)+(LEN(M321)=0)+(LEN(O321)=0)+(LEN(R321)=0)+(LEN(X321)=0)+(LEN(AI321)=0)+(LEN(AJ321)=0)+(LEN(AQ321)=0)+(LEN(AR321)=0)+(LEN(AT321)=0)+(LEN(AU321)=0)+(LEN(AV321)=0)+(LEN(AX321)=0))</f>
        <v/>
      </c>
      <c r="BB321" s="115">
        <f>IF($B321="","",IF(AND(BA321=0,AZ321&gt;=1),"Complete","Incomplete"))</f>
        <v/>
      </c>
    </row>
    <row r="322" ht="15" customHeight="1" s="62">
      <c r="A322" s="81" t="n"/>
      <c r="B322" s="113" t="n"/>
      <c r="C322" s="81" t="n"/>
      <c r="D322" s="81" t="n"/>
      <c r="E322" s="81" t="n"/>
      <c r="F322" s="81" t="n"/>
      <c r="G322" s="81" t="n"/>
      <c r="H322" s="81" t="n"/>
      <c r="I322" s="81" t="n"/>
      <c r="J322" s="81" t="n"/>
      <c r="K322" s="81" t="n"/>
      <c r="L322" s="113" t="n"/>
      <c r="M322" s="81" t="n"/>
      <c r="N322" s="81" t="n"/>
      <c r="O322" s="81" t="n"/>
      <c r="P322" s="81" t="n"/>
      <c r="Q322" s="113" t="n"/>
      <c r="R322" s="113" t="n"/>
      <c r="S322" s="113" t="n"/>
      <c r="T322" s="81" t="n"/>
      <c r="U322" s="81" t="n"/>
      <c r="V322" s="113" t="n"/>
      <c r="W322" s="81" t="n"/>
      <c r="X322" s="81" t="n"/>
      <c r="Y322" s="81" t="n"/>
      <c r="Z322" s="81" t="n"/>
      <c r="AA322" s="81" t="n"/>
      <c r="AB322" s="81" t="n"/>
      <c r="AC322" s="81" t="n"/>
      <c r="AD322" s="81" t="n"/>
      <c r="AE322" s="81" t="n"/>
      <c r="AF322" s="81" t="n"/>
      <c r="AG322" s="81" t="n"/>
      <c r="AH322" s="113" t="n"/>
      <c r="AI322" s="81" t="n"/>
      <c r="AJ322" s="81" t="n"/>
      <c r="AK322" s="113" t="n"/>
      <c r="AL322" s="81" t="n"/>
      <c r="AM322" s="81" t="n"/>
      <c r="AN322" s="81" t="n"/>
      <c r="AO322" s="113" t="n"/>
      <c r="AP322" s="113" t="n"/>
      <c r="AQ322" s="81" t="n"/>
      <c r="AR322" s="113" t="n"/>
      <c r="AS322" s="113" t="n"/>
      <c r="AT322" s="114" t="n"/>
      <c r="AU322" s="81" t="n"/>
      <c r="AV322" s="114" t="n"/>
      <c r="AW322" s="114" t="n"/>
      <c r="AX322" s="81" t="n"/>
      <c r="AY322" s="113" t="n"/>
      <c r="AZ322" s="115">
        <f>IF($B322="","",COUNTIF(References!$A$4:$A$503,$A322))</f>
        <v/>
      </c>
      <c r="BA322" s="115">
        <f>IF($B322="","",(LEN(A322)=0)+(LEN(B322)=0)+(LEN(D322)=0)+(LEN(G322)=0)+(LEN(H322)=0)+(LEN(I322)=0)+(LEN(J322)=0)+(LEN(L322)=0)+(LEN(M322)=0)+(LEN(O322)=0)+(LEN(R322)=0)+(LEN(X322)=0)+(LEN(AI322)=0)+(LEN(AJ322)=0)+(LEN(AQ322)=0)+(LEN(AR322)=0)+(LEN(AT322)=0)+(LEN(AU322)=0)+(LEN(AV322)=0)+(LEN(AX322)=0))</f>
        <v/>
      </c>
      <c r="BB322" s="115">
        <f>IF($B322="","",IF(AND(BA322=0,AZ322&gt;=1),"Complete","Incomplete"))</f>
        <v/>
      </c>
    </row>
    <row r="323" ht="15" customHeight="1" s="62">
      <c r="A323" s="81" t="n"/>
      <c r="B323" s="113" t="n"/>
      <c r="C323" s="81" t="n"/>
      <c r="D323" s="81" t="n"/>
      <c r="E323" s="81" t="n"/>
      <c r="F323" s="81" t="n"/>
      <c r="G323" s="81" t="n"/>
      <c r="H323" s="81" t="n"/>
      <c r="I323" s="81" t="n"/>
      <c r="J323" s="81" t="n"/>
      <c r="K323" s="81" t="n"/>
      <c r="L323" s="113" t="n"/>
      <c r="M323" s="81" t="n"/>
      <c r="N323" s="81" t="n"/>
      <c r="O323" s="81" t="n"/>
      <c r="P323" s="81" t="n"/>
      <c r="Q323" s="113" t="n"/>
      <c r="R323" s="113" t="n"/>
      <c r="S323" s="113" t="n"/>
      <c r="T323" s="81" t="n"/>
      <c r="U323" s="81" t="n"/>
      <c r="V323" s="113" t="n"/>
      <c r="W323" s="81" t="n"/>
      <c r="X323" s="81" t="n"/>
      <c r="Y323" s="81" t="n"/>
      <c r="Z323" s="81" t="n"/>
      <c r="AA323" s="81" t="n"/>
      <c r="AB323" s="81" t="n"/>
      <c r="AC323" s="81" t="n"/>
      <c r="AD323" s="81" t="n"/>
      <c r="AE323" s="81" t="n"/>
      <c r="AF323" s="81" t="n"/>
      <c r="AG323" s="81" t="n"/>
      <c r="AH323" s="113" t="n"/>
      <c r="AI323" s="81" t="n"/>
      <c r="AJ323" s="81" t="n"/>
      <c r="AK323" s="113" t="n"/>
      <c r="AL323" s="81" t="n"/>
      <c r="AM323" s="81" t="n"/>
      <c r="AN323" s="81" t="n"/>
      <c r="AO323" s="113" t="n"/>
      <c r="AP323" s="113" t="n"/>
      <c r="AQ323" s="81" t="n"/>
      <c r="AR323" s="113" t="n"/>
      <c r="AS323" s="113" t="n"/>
      <c r="AT323" s="114" t="n"/>
      <c r="AU323" s="81" t="n"/>
      <c r="AV323" s="114" t="n"/>
      <c r="AW323" s="114" t="n"/>
      <c r="AX323" s="81" t="n"/>
      <c r="AY323" s="113" t="n"/>
      <c r="AZ323" s="115">
        <f>IF($B323="","",COUNTIF(References!$A$4:$A$503,$A323))</f>
        <v/>
      </c>
      <c r="BA323" s="115">
        <f>IF($B323="","",(LEN(A323)=0)+(LEN(B323)=0)+(LEN(D323)=0)+(LEN(G323)=0)+(LEN(H323)=0)+(LEN(I323)=0)+(LEN(J323)=0)+(LEN(L323)=0)+(LEN(M323)=0)+(LEN(O323)=0)+(LEN(R323)=0)+(LEN(X323)=0)+(LEN(AI323)=0)+(LEN(AJ323)=0)+(LEN(AQ323)=0)+(LEN(AR323)=0)+(LEN(AT323)=0)+(LEN(AU323)=0)+(LEN(AV323)=0)+(LEN(AX323)=0))</f>
        <v/>
      </c>
      <c r="BB323" s="115">
        <f>IF($B323="","",IF(AND(BA323=0,AZ323&gt;=1),"Complete","Incomplete"))</f>
        <v/>
      </c>
    </row>
    <row r="324" ht="15" customHeight="1" s="62">
      <c r="A324" s="81" t="n"/>
      <c r="B324" s="113" t="n"/>
      <c r="C324" s="81" t="n"/>
      <c r="D324" s="81" t="n"/>
      <c r="E324" s="81" t="n"/>
      <c r="F324" s="81" t="n"/>
      <c r="G324" s="81" t="n"/>
      <c r="H324" s="81" t="n"/>
      <c r="I324" s="81" t="n"/>
      <c r="J324" s="81" t="n"/>
      <c r="K324" s="81" t="n"/>
      <c r="L324" s="113" t="n"/>
      <c r="M324" s="81" t="n"/>
      <c r="N324" s="81" t="n"/>
      <c r="O324" s="81" t="n"/>
      <c r="P324" s="81" t="n"/>
      <c r="Q324" s="113" t="n"/>
      <c r="R324" s="113" t="n"/>
      <c r="S324" s="113" t="n"/>
      <c r="T324" s="81" t="n"/>
      <c r="U324" s="81" t="n"/>
      <c r="V324" s="113" t="n"/>
      <c r="W324" s="81" t="n"/>
      <c r="X324" s="81" t="n"/>
      <c r="Y324" s="81" t="n"/>
      <c r="Z324" s="81" t="n"/>
      <c r="AA324" s="81" t="n"/>
      <c r="AB324" s="81" t="n"/>
      <c r="AC324" s="81" t="n"/>
      <c r="AD324" s="81" t="n"/>
      <c r="AE324" s="81" t="n"/>
      <c r="AF324" s="81" t="n"/>
      <c r="AG324" s="81" t="n"/>
      <c r="AH324" s="113" t="n"/>
      <c r="AI324" s="81" t="n"/>
      <c r="AJ324" s="81" t="n"/>
      <c r="AK324" s="113" t="n"/>
      <c r="AL324" s="81" t="n"/>
      <c r="AM324" s="81" t="n"/>
      <c r="AN324" s="81" t="n"/>
      <c r="AO324" s="113" t="n"/>
      <c r="AP324" s="113" t="n"/>
      <c r="AQ324" s="81" t="n"/>
      <c r="AR324" s="113" t="n"/>
      <c r="AS324" s="113" t="n"/>
      <c r="AT324" s="114" t="n"/>
      <c r="AU324" s="81" t="n"/>
      <c r="AV324" s="114" t="n"/>
      <c r="AW324" s="114" t="n"/>
      <c r="AX324" s="81" t="n"/>
      <c r="AY324" s="113" t="n"/>
      <c r="AZ324" s="115">
        <f>IF($B324="","",COUNTIF(References!$A$4:$A$503,$A324))</f>
        <v/>
      </c>
      <c r="BA324" s="115">
        <f>IF($B324="","",(LEN(A324)=0)+(LEN(B324)=0)+(LEN(D324)=0)+(LEN(G324)=0)+(LEN(H324)=0)+(LEN(I324)=0)+(LEN(J324)=0)+(LEN(L324)=0)+(LEN(M324)=0)+(LEN(O324)=0)+(LEN(R324)=0)+(LEN(X324)=0)+(LEN(AI324)=0)+(LEN(AJ324)=0)+(LEN(AQ324)=0)+(LEN(AR324)=0)+(LEN(AT324)=0)+(LEN(AU324)=0)+(LEN(AV324)=0)+(LEN(AX324)=0))</f>
        <v/>
      </c>
      <c r="BB324" s="115">
        <f>IF($B324="","",IF(AND(BA324=0,AZ324&gt;=1),"Complete","Incomplete"))</f>
        <v/>
      </c>
    </row>
    <row r="325" ht="15" customHeight="1" s="62">
      <c r="A325" s="81" t="n"/>
      <c r="B325" s="113" t="n"/>
      <c r="C325" s="81" t="n"/>
      <c r="D325" s="81" t="n"/>
      <c r="E325" s="81" t="n"/>
      <c r="F325" s="81" t="n"/>
      <c r="G325" s="81" t="n"/>
      <c r="H325" s="81" t="n"/>
      <c r="I325" s="81" t="n"/>
      <c r="J325" s="81" t="n"/>
      <c r="K325" s="81" t="n"/>
      <c r="L325" s="113" t="n"/>
      <c r="M325" s="81" t="n"/>
      <c r="N325" s="81" t="n"/>
      <c r="O325" s="81" t="n"/>
      <c r="P325" s="81" t="n"/>
      <c r="Q325" s="113" t="n"/>
      <c r="R325" s="113" t="n"/>
      <c r="S325" s="113" t="n"/>
      <c r="T325" s="81" t="n"/>
      <c r="U325" s="81" t="n"/>
      <c r="V325" s="113" t="n"/>
      <c r="W325" s="81" t="n"/>
      <c r="X325" s="81" t="n"/>
      <c r="Y325" s="81" t="n"/>
      <c r="Z325" s="81" t="n"/>
      <c r="AA325" s="81" t="n"/>
      <c r="AB325" s="81" t="n"/>
      <c r="AC325" s="81" t="n"/>
      <c r="AD325" s="81" t="n"/>
      <c r="AE325" s="81" t="n"/>
      <c r="AF325" s="81" t="n"/>
      <c r="AG325" s="81" t="n"/>
      <c r="AH325" s="113" t="n"/>
      <c r="AI325" s="81" t="n"/>
      <c r="AJ325" s="81" t="n"/>
      <c r="AK325" s="113" t="n"/>
      <c r="AL325" s="81" t="n"/>
      <c r="AM325" s="81" t="n"/>
      <c r="AN325" s="81" t="n"/>
      <c r="AO325" s="113" t="n"/>
      <c r="AP325" s="113" t="n"/>
      <c r="AQ325" s="81" t="n"/>
      <c r="AR325" s="113" t="n"/>
      <c r="AS325" s="113" t="n"/>
      <c r="AT325" s="114" t="n"/>
      <c r="AU325" s="81" t="n"/>
      <c r="AV325" s="114" t="n"/>
      <c r="AW325" s="114" t="n"/>
      <c r="AX325" s="81" t="n"/>
      <c r="AY325" s="113" t="n"/>
      <c r="AZ325" s="115">
        <f>IF($B325="","",COUNTIF(References!$A$4:$A$503,$A325))</f>
        <v/>
      </c>
      <c r="BA325" s="115">
        <f>IF($B325="","",(LEN(A325)=0)+(LEN(B325)=0)+(LEN(D325)=0)+(LEN(G325)=0)+(LEN(H325)=0)+(LEN(I325)=0)+(LEN(J325)=0)+(LEN(L325)=0)+(LEN(M325)=0)+(LEN(O325)=0)+(LEN(R325)=0)+(LEN(X325)=0)+(LEN(AI325)=0)+(LEN(AJ325)=0)+(LEN(AQ325)=0)+(LEN(AR325)=0)+(LEN(AT325)=0)+(LEN(AU325)=0)+(LEN(AV325)=0)+(LEN(AX325)=0))</f>
        <v/>
      </c>
      <c r="BB325" s="115">
        <f>IF($B325="","",IF(AND(BA325=0,AZ325&gt;=1),"Complete","Incomplete"))</f>
        <v/>
      </c>
    </row>
    <row r="326" ht="15" customHeight="1" s="62">
      <c r="A326" s="81" t="n"/>
      <c r="B326" s="113" t="n"/>
      <c r="C326" s="81" t="n"/>
      <c r="D326" s="81" t="n"/>
      <c r="E326" s="81" t="n"/>
      <c r="F326" s="81" t="n"/>
      <c r="G326" s="81" t="n"/>
      <c r="H326" s="81" t="n"/>
      <c r="I326" s="81" t="n"/>
      <c r="J326" s="81" t="n"/>
      <c r="K326" s="81" t="n"/>
      <c r="L326" s="113" t="n"/>
      <c r="M326" s="81" t="n"/>
      <c r="N326" s="81" t="n"/>
      <c r="O326" s="81" t="n"/>
      <c r="P326" s="81" t="n"/>
      <c r="Q326" s="113" t="n"/>
      <c r="R326" s="113" t="n"/>
      <c r="S326" s="113" t="n"/>
      <c r="T326" s="81" t="n"/>
      <c r="U326" s="81" t="n"/>
      <c r="V326" s="113" t="n"/>
      <c r="W326" s="81" t="n"/>
      <c r="X326" s="81" t="n"/>
      <c r="Y326" s="81" t="n"/>
      <c r="Z326" s="81" t="n"/>
      <c r="AA326" s="81" t="n"/>
      <c r="AB326" s="81" t="n"/>
      <c r="AC326" s="81" t="n"/>
      <c r="AD326" s="81" t="n"/>
      <c r="AE326" s="81" t="n"/>
      <c r="AF326" s="81" t="n"/>
      <c r="AG326" s="81" t="n"/>
      <c r="AH326" s="113" t="n"/>
      <c r="AI326" s="81" t="n"/>
      <c r="AJ326" s="81" t="n"/>
      <c r="AK326" s="113" t="n"/>
      <c r="AL326" s="81" t="n"/>
      <c r="AM326" s="81" t="n"/>
      <c r="AN326" s="81" t="n"/>
      <c r="AO326" s="113" t="n"/>
      <c r="AP326" s="113" t="n"/>
      <c r="AQ326" s="81" t="n"/>
      <c r="AR326" s="113" t="n"/>
      <c r="AS326" s="113" t="n"/>
      <c r="AT326" s="114" t="n"/>
      <c r="AU326" s="81" t="n"/>
      <c r="AV326" s="114" t="n"/>
      <c r="AW326" s="114" t="n"/>
      <c r="AX326" s="81" t="n"/>
      <c r="AY326" s="113" t="n"/>
      <c r="AZ326" s="115">
        <f>IF($B326="","",COUNTIF(References!$A$4:$A$503,$A326))</f>
        <v/>
      </c>
      <c r="BA326" s="115">
        <f>IF($B326="","",(LEN(A326)=0)+(LEN(B326)=0)+(LEN(D326)=0)+(LEN(G326)=0)+(LEN(H326)=0)+(LEN(I326)=0)+(LEN(J326)=0)+(LEN(L326)=0)+(LEN(M326)=0)+(LEN(O326)=0)+(LEN(R326)=0)+(LEN(X326)=0)+(LEN(AI326)=0)+(LEN(AJ326)=0)+(LEN(AQ326)=0)+(LEN(AR326)=0)+(LEN(AT326)=0)+(LEN(AU326)=0)+(LEN(AV326)=0)+(LEN(AX326)=0))</f>
        <v/>
      </c>
      <c r="BB326" s="115">
        <f>IF($B326="","",IF(AND(BA326=0,AZ326&gt;=1),"Complete","Incomplete"))</f>
        <v/>
      </c>
    </row>
    <row r="327" ht="15" customHeight="1" s="62">
      <c r="A327" s="81" t="n"/>
      <c r="B327" s="113" t="n"/>
      <c r="C327" s="81" t="n"/>
      <c r="D327" s="81" t="n"/>
      <c r="E327" s="81" t="n"/>
      <c r="F327" s="81" t="n"/>
      <c r="G327" s="81" t="n"/>
      <c r="H327" s="81" t="n"/>
      <c r="I327" s="81" t="n"/>
      <c r="J327" s="81" t="n"/>
      <c r="K327" s="81" t="n"/>
      <c r="L327" s="113" t="n"/>
      <c r="M327" s="81" t="n"/>
      <c r="N327" s="81" t="n"/>
      <c r="O327" s="81" t="n"/>
      <c r="P327" s="81" t="n"/>
      <c r="Q327" s="113" t="n"/>
      <c r="R327" s="113" t="n"/>
      <c r="S327" s="113" t="n"/>
      <c r="T327" s="81" t="n"/>
      <c r="U327" s="81" t="n"/>
      <c r="V327" s="113" t="n"/>
      <c r="W327" s="81" t="n"/>
      <c r="X327" s="81" t="n"/>
      <c r="Y327" s="81" t="n"/>
      <c r="Z327" s="81" t="n"/>
      <c r="AA327" s="81" t="n"/>
      <c r="AB327" s="81" t="n"/>
      <c r="AC327" s="81" t="n"/>
      <c r="AD327" s="81" t="n"/>
      <c r="AE327" s="81" t="n"/>
      <c r="AF327" s="81" t="n"/>
      <c r="AG327" s="81" t="n"/>
      <c r="AH327" s="113" t="n"/>
      <c r="AI327" s="81" t="n"/>
      <c r="AJ327" s="81" t="n"/>
      <c r="AK327" s="113" t="n"/>
      <c r="AL327" s="81" t="n"/>
      <c r="AM327" s="81" t="n"/>
      <c r="AN327" s="81" t="n"/>
      <c r="AO327" s="113" t="n"/>
      <c r="AP327" s="113" t="n"/>
      <c r="AQ327" s="81" t="n"/>
      <c r="AR327" s="113" t="n"/>
      <c r="AS327" s="113" t="n"/>
      <c r="AT327" s="114" t="n"/>
      <c r="AU327" s="81" t="n"/>
      <c r="AV327" s="114" t="n"/>
      <c r="AW327" s="114" t="n"/>
      <c r="AX327" s="81" t="n"/>
      <c r="AY327" s="113" t="n"/>
      <c r="AZ327" s="115">
        <f>IF($B327="","",COUNTIF(References!$A$4:$A$503,$A327))</f>
        <v/>
      </c>
      <c r="BA327" s="115">
        <f>IF($B327="","",(LEN(A327)=0)+(LEN(B327)=0)+(LEN(D327)=0)+(LEN(G327)=0)+(LEN(H327)=0)+(LEN(I327)=0)+(LEN(J327)=0)+(LEN(L327)=0)+(LEN(M327)=0)+(LEN(O327)=0)+(LEN(R327)=0)+(LEN(X327)=0)+(LEN(AI327)=0)+(LEN(AJ327)=0)+(LEN(AQ327)=0)+(LEN(AR327)=0)+(LEN(AT327)=0)+(LEN(AU327)=0)+(LEN(AV327)=0)+(LEN(AX327)=0))</f>
        <v/>
      </c>
      <c r="BB327" s="115">
        <f>IF($B327="","",IF(AND(BA327=0,AZ327&gt;=1),"Complete","Incomplete"))</f>
        <v/>
      </c>
    </row>
    <row r="328" ht="15" customHeight="1" s="62">
      <c r="A328" s="81" t="n"/>
      <c r="B328" s="113" t="n"/>
      <c r="C328" s="81" t="n"/>
      <c r="D328" s="81" t="n"/>
      <c r="E328" s="81" t="n"/>
      <c r="F328" s="81" t="n"/>
      <c r="G328" s="81" t="n"/>
      <c r="H328" s="81" t="n"/>
      <c r="I328" s="81" t="n"/>
      <c r="J328" s="81" t="n"/>
      <c r="K328" s="81" t="n"/>
      <c r="L328" s="113" t="n"/>
      <c r="M328" s="81" t="n"/>
      <c r="N328" s="81" t="n"/>
      <c r="O328" s="81" t="n"/>
      <c r="P328" s="81" t="n"/>
      <c r="Q328" s="113" t="n"/>
      <c r="R328" s="113" t="n"/>
      <c r="S328" s="113" t="n"/>
      <c r="T328" s="81" t="n"/>
      <c r="U328" s="81" t="n"/>
      <c r="V328" s="113" t="n"/>
      <c r="W328" s="81" t="n"/>
      <c r="X328" s="81" t="n"/>
      <c r="Y328" s="81" t="n"/>
      <c r="Z328" s="81" t="n"/>
      <c r="AA328" s="81" t="n"/>
      <c r="AB328" s="81" t="n"/>
      <c r="AC328" s="81" t="n"/>
      <c r="AD328" s="81" t="n"/>
      <c r="AE328" s="81" t="n"/>
      <c r="AF328" s="81" t="n"/>
      <c r="AG328" s="81" t="n"/>
      <c r="AH328" s="113" t="n"/>
      <c r="AI328" s="81" t="n"/>
      <c r="AJ328" s="81" t="n"/>
      <c r="AK328" s="113" t="n"/>
      <c r="AL328" s="81" t="n"/>
      <c r="AM328" s="81" t="n"/>
      <c r="AN328" s="81" t="n"/>
      <c r="AO328" s="113" t="n"/>
      <c r="AP328" s="113" t="n"/>
      <c r="AQ328" s="81" t="n"/>
      <c r="AR328" s="113" t="n"/>
      <c r="AS328" s="113" t="n"/>
      <c r="AT328" s="114" t="n"/>
      <c r="AU328" s="81" t="n"/>
      <c r="AV328" s="114" t="n"/>
      <c r="AW328" s="114" t="n"/>
      <c r="AX328" s="81" t="n"/>
      <c r="AY328" s="113" t="n"/>
      <c r="AZ328" s="115">
        <f>IF($B328="","",COUNTIF(References!$A$4:$A$503,$A328))</f>
        <v/>
      </c>
      <c r="BA328" s="115">
        <f>IF($B328="","",(LEN(A328)=0)+(LEN(B328)=0)+(LEN(D328)=0)+(LEN(G328)=0)+(LEN(H328)=0)+(LEN(I328)=0)+(LEN(J328)=0)+(LEN(L328)=0)+(LEN(M328)=0)+(LEN(O328)=0)+(LEN(R328)=0)+(LEN(X328)=0)+(LEN(AI328)=0)+(LEN(AJ328)=0)+(LEN(AQ328)=0)+(LEN(AR328)=0)+(LEN(AT328)=0)+(LEN(AU328)=0)+(LEN(AV328)=0)+(LEN(AX328)=0))</f>
        <v/>
      </c>
      <c r="BB328" s="115">
        <f>IF($B328="","",IF(AND(BA328=0,AZ328&gt;=1),"Complete","Incomplete"))</f>
        <v/>
      </c>
    </row>
    <row r="329" ht="15" customHeight="1" s="62">
      <c r="A329" s="81" t="n"/>
      <c r="B329" s="113" t="n"/>
      <c r="C329" s="81" t="n"/>
      <c r="D329" s="81" t="n"/>
      <c r="E329" s="81" t="n"/>
      <c r="F329" s="81" t="n"/>
      <c r="G329" s="81" t="n"/>
      <c r="H329" s="81" t="n"/>
      <c r="I329" s="81" t="n"/>
      <c r="J329" s="81" t="n"/>
      <c r="K329" s="81" t="n"/>
      <c r="L329" s="113" t="n"/>
      <c r="M329" s="81" t="n"/>
      <c r="N329" s="81" t="n"/>
      <c r="O329" s="81" t="n"/>
      <c r="P329" s="81" t="n"/>
      <c r="Q329" s="113" t="n"/>
      <c r="R329" s="113" t="n"/>
      <c r="S329" s="113" t="n"/>
      <c r="T329" s="81" t="n"/>
      <c r="U329" s="81" t="n"/>
      <c r="V329" s="113" t="n"/>
      <c r="W329" s="81" t="n"/>
      <c r="X329" s="81" t="n"/>
      <c r="Y329" s="81" t="n"/>
      <c r="Z329" s="81" t="n"/>
      <c r="AA329" s="81" t="n"/>
      <c r="AB329" s="81" t="n"/>
      <c r="AC329" s="81" t="n"/>
      <c r="AD329" s="81" t="n"/>
      <c r="AE329" s="81" t="n"/>
      <c r="AF329" s="81" t="n"/>
      <c r="AG329" s="81" t="n"/>
      <c r="AH329" s="113" t="n"/>
      <c r="AI329" s="81" t="n"/>
      <c r="AJ329" s="81" t="n"/>
      <c r="AK329" s="113" t="n"/>
      <c r="AL329" s="81" t="n"/>
      <c r="AM329" s="81" t="n"/>
      <c r="AN329" s="81" t="n"/>
      <c r="AO329" s="113" t="n"/>
      <c r="AP329" s="113" t="n"/>
      <c r="AQ329" s="81" t="n"/>
      <c r="AR329" s="113" t="n"/>
      <c r="AS329" s="113" t="n"/>
      <c r="AT329" s="114" t="n"/>
      <c r="AU329" s="81" t="n"/>
      <c r="AV329" s="114" t="n"/>
      <c r="AW329" s="114" t="n"/>
      <c r="AX329" s="81" t="n"/>
      <c r="AY329" s="113" t="n"/>
      <c r="AZ329" s="115">
        <f>IF($B329="","",COUNTIF(References!$A$4:$A$503,$A329))</f>
        <v/>
      </c>
      <c r="BA329" s="115">
        <f>IF($B329="","",(LEN(A329)=0)+(LEN(B329)=0)+(LEN(D329)=0)+(LEN(G329)=0)+(LEN(H329)=0)+(LEN(I329)=0)+(LEN(J329)=0)+(LEN(L329)=0)+(LEN(M329)=0)+(LEN(O329)=0)+(LEN(R329)=0)+(LEN(X329)=0)+(LEN(AI329)=0)+(LEN(AJ329)=0)+(LEN(AQ329)=0)+(LEN(AR329)=0)+(LEN(AT329)=0)+(LEN(AU329)=0)+(LEN(AV329)=0)+(LEN(AX329)=0))</f>
        <v/>
      </c>
      <c r="BB329" s="115">
        <f>IF($B329="","",IF(AND(BA329=0,AZ329&gt;=1),"Complete","Incomplete"))</f>
        <v/>
      </c>
    </row>
    <row r="330" ht="15" customHeight="1" s="62">
      <c r="A330" s="81" t="n"/>
      <c r="B330" s="113" t="n"/>
      <c r="C330" s="81" t="n"/>
      <c r="D330" s="81" t="n"/>
      <c r="E330" s="81" t="n"/>
      <c r="F330" s="81" t="n"/>
      <c r="G330" s="81" t="n"/>
      <c r="H330" s="81" t="n"/>
      <c r="I330" s="81" t="n"/>
      <c r="J330" s="81" t="n"/>
      <c r="K330" s="81" t="n"/>
      <c r="L330" s="113" t="n"/>
      <c r="M330" s="81" t="n"/>
      <c r="N330" s="81" t="n"/>
      <c r="O330" s="81" t="n"/>
      <c r="P330" s="81" t="n"/>
      <c r="Q330" s="113" t="n"/>
      <c r="R330" s="113" t="n"/>
      <c r="S330" s="113" t="n"/>
      <c r="T330" s="81" t="n"/>
      <c r="U330" s="81" t="n"/>
      <c r="V330" s="113" t="n"/>
      <c r="W330" s="81" t="n"/>
      <c r="X330" s="81" t="n"/>
      <c r="Y330" s="81" t="n"/>
      <c r="Z330" s="81" t="n"/>
      <c r="AA330" s="81" t="n"/>
      <c r="AB330" s="81" t="n"/>
      <c r="AC330" s="81" t="n"/>
      <c r="AD330" s="81" t="n"/>
      <c r="AE330" s="81" t="n"/>
      <c r="AF330" s="81" t="n"/>
      <c r="AG330" s="81" t="n"/>
      <c r="AH330" s="113" t="n"/>
      <c r="AI330" s="81" t="n"/>
      <c r="AJ330" s="81" t="n"/>
      <c r="AK330" s="113" t="n"/>
      <c r="AL330" s="81" t="n"/>
      <c r="AM330" s="81" t="n"/>
      <c r="AN330" s="81" t="n"/>
      <c r="AO330" s="113" t="n"/>
      <c r="AP330" s="113" t="n"/>
      <c r="AQ330" s="81" t="n"/>
      <c r="AR330" s="113" t="n"/>
      <c r="AS330" s="113" t="n"/>
      <c r="AT330" s="114" t="n"/>
      <c r="AU330" s="81" t="n"/>
      <c r="AV330" s="114" t="n"/>
      <c r="AW330" s="114" t="n"/>
      <c r="AX330" s="81" t="n"/>
      <c r="AY330" s="113" t="n"/>
      <c r="AZ330" s="115">
        <f>IF($B330="","",COUNTIF(References!$A$4:$A$503,$A330))</f>
        <v/>
      </c>
      <c r="BA330" s="115">
        <f>IF($B330="","",(LEN(A330)=0)+(LEN(B330)=0)+(LEN(D330)=0)+(LEN(G330)=0)+(LEN(H330)=0)+(LEN(I330)=0)+(LEN(J330)=0)+(LEN(L330)=0)+(LEN(M330)=0)+(LEN(O330)=0)+(LEN(R330)=0)+(LEN(X330)=0)+(LEN(AI330)=0)+(LEN(AJ330)=0)+(LEN(AQ330)=0)+(LEN(AR330)=0)+(LEN(AT330)=0)+(LEN(AU330)=0)+(LEN(AV330)=0)+(LEN(AX330)=0))</f>
        <v/>
      </c>
      <c r="BB330" s="115">
        <f>IF($B330="","",IF(AND(BA330=0,AZ330&gt;=1),"Complete","Incomplete"))</f>
        <v/>
      </c>
    </row>
    <row r="331" ht="15" customHeight="1" s="62">
      <c r="A331" s="81" t="n"/>
      <c r="B331" s="113" t="n"/>
      <c r="C331" s="81" t="n"/>
      <c r="D331" s="81" t="n"/>
      <c r="E331" s="81" t="n"/>
      <c r="F331" s="81" t="n"/>
      <c r="G331" s="81" t="n"/>
      <c r="H331" s="81" t="n"/>
      <c r="I331" s="81" t="n"/>
      <c r="J331" s="81" t="n"/>
      <c r="K331" s="81" t="n"/>
      <c r="L331" s="113" t="n"/>
      <c r="M331" s="81" t="n"/>
      <c r="N331" s="81" t="n"/>
      <c r="O331" s="81" t="n"/>
      <c r="P331" s="81" t="n"/>
      <c r="Q331" s="113" t="n"/>
      <c r="R331" s="113" t="n"/>
      <c r="S331" s="113" t="n"/>
      <c r="T331" s="81" t="n"/>
      <c r="U331" s="81" t="n"/>
      <c r="V331" s="113" t="n"/>
      <c r="W331" s="81" t="n"/>
      <c r="X331" s="81" t="n"/>
      <c r="Y331" s="81" t="n"/>
      <c r="Z331" s="81" t="n"/>
      <c r="AA331" s="81" t="n"/>
      <c r="AB331" s="81" t="n"/>
      <c r="AC331" s="81" t="n"/>
      <c r="AD331" s="81" t="n"/>
      <c r="AE331" s="81" t="n"/>
      <c r="AF331" s="81" t="n"/>
      <c r="AG331" s="81" t="n"/>
      <c r="AH331" s="113" t="n"/>
      <c r="AI331" s="81" t="n"/>
      <c r="AJ331" s="81" t="n"/>
      <c r="AK331" s="113" t="n"/>
      <c r="AL331" s="81" t="n"/>
      <c r="AM331" s="81" t="n"/>
      <c r="AN331" s="81" t="n"/>
      <c r="AO331" s="113" t="n"/>
      <c r="AP331" s="113" t="n"/>
      <c r="AQ331" s="81" t="n"/>
      <c r="AR331" s="113" t="n"/>
      <c r="AS331" s="113" t="n"/>
      <c r="AT331" s="114" t="n"/>
      <c r="AU331" s="81" t="n"/>
      <c r="AV331" s="114" t="n"/>
      <c r="AW331" s="114" t="n"/>
      <c r="AX331" s="81" t="n"/>
      <c r="AY331" s="113" t="n"/>
      <c r="AZ331" s="115">
        <f>IF($B331="","",COUNTIF(References!$A$4:$A$503,$A331))</f>
        <v/>
      </c>
      <c r="BA331" s="115">
        <f>IF($B331="","",(LEN(A331)=0)+(LEN(B331)=0)+(LEN(D331)=0)+(LEN(G331)=0)+(LEN(H331)=0)+(LEN(I331)=0)+(LEN(J331)=0)+(LEN(L331)=0)+(LEN(M331)=0)+(LEN(O331)=0)+(LEN(R331)=0)+(LEN(X331)=0)+(LEN(AI331)=0)+(LEN(AJ331)=0)+(LEN(AQ331)=0)+(LEN(AR331)=0)+(LEN(AT331)=0)+(LEN(AU331)=0)+(LEN(AV331)=0)+(LEN(AX331)=0))</f>
        <v/>
      </c>
      <c r="BB331" s="115">
        <f>IF($B331="","",IF(AND(BA331=0,AZ331&gt;=1),"Complete","Incomplete"))</f>
        <v/>
      </c>
    </row>
    <row r="332" ht="15" customHeight="1" s="62">
      <c r="A332" s="81" t="n"/>
      <c r="B332" s="113" t="n"/>
      <c r="C332" s="81" t="n"/>
      <c r="D332" s="81" t="n"/>
      <c r="E332" s="81" t="n"/>
      <c r="F332" s="81" t="n"/>
      <c r="G332" s="81" t="n"/>
      <c r="H332" s="81" t="n"/>
      <c r="I332" s="81" t="n"/>
      <c r="J332" s="81" t="n"/>
      <c r="K332" s="81" t="n"/>
      <c r="L332" s="113" t="n"/>
      <c r="M332" s="81" t="n"/>
      <c r="N332" s="81" t="n"/>
      <c r="O332" s="81" t="n"/>
      <c r="P332" s="81" t="n"/>
      <c r="Q332" s="113" t="n"/>
      <c r="R332" s="113" t="n"/>
      <c r="S332" s="113" t="n"/>
      <c r="T332" s="81" t="n"/>
      <c r="U332" s="81" t="n"/>
      <c r="V332" s="113" t="n"/>
      <c r="W332" s="81" t="n"/>
      <c r="X332" s="81" t="n"/>
      <c r="Y332" s="81" t="n"/>
      <c r="Z332" s="81" t="n"/>
      <c r="AA332" s="81" t="n"/>
      <c r="AB332" s="81" t="n"/>
      <c r="AC332" s="81" t="n"/>
      <c r="AD332" s="81" t="n"/>
      <c r="AE332" s="81" t="n"/>
      <c r="AF332" s="81" t="n"/>
      <c r="AG332" s="81" t="n"/>
      <c r="AH332" s="113" t="n"/>
      <c r="AI332" s="81" t="n"/>
      <c r="AJ332" s="81" t="n"/>
      <c r="AK332" s="113" t="n"/>
      <c r="AL332" s="81" t="n"/>
      <c r="AM332" s="81" t="n"/>
      <c r="AN332" s="81" t="n"/>
      <c r="AO332" s="113" t="n"/>
      <c r="AP332" s="113" t="n"/>
      <c r="AQ332" s="81" t="n"/>
      <c r="AR332" s="113" t="n"/>
      <c r="AS332" s="113" t="n"/>
      <c r="AT332" s="114" t="n"/>
      <c r="AU332" s="81" t="n"/>
      <c r="AV332" s="114" t="n"/>
      <c r="AW332" s="114" t="n"/>
      <c r="AX332" s="81" t="n"/>
      <c r="AY332" s="113" t="n"/>
      <c r="AZ332" s="115">
        <f>IF($B332="","",COUNTIF(References!$A$4:$A$503,$A332))</f>
        <v/>
      </c>
      <c r="BA332" s="115">
        <f>IF($B332="","",(LEN(A332)=0)+(LEN(B332)=0)+(LEN(D332)=0)+(LEN(G332)=0)+(LEN(H332)=0)+(LEN(I332)=0)+(LEN(J332)=0)+(LEN(L332)=0)+(LEN(M332)=0)+(LEN(O332)=0)+(LEN(R332)=0)+(LEN(X332)=0)+(LEN(AI332)=0)+(LEN(AJ332)=0)+(LEN(AQ332)=0)+(LEN(AR332)=0)+(LEN(AT332)=0)+(LEN(AU332)=0)+(LEN(AV332)=0)+(LEN(AX332)=0))</f>
        <v/>
      </c>
      <c r="BB332" s="115">
        <f>IF($B332="","",IF(AND(BA332=0,AZ332&gt;=1),"Complete","Incomplete"))</f>
        <v/>
      </c>
    </row>
    <row r="333" ht="15" customHeight="1" s="62">
      <c r="A333" s="81" t="n"/>
      <c r="B333" s="113" t="n"/>
      <c r="C333" s="81" t="n"/>
      <c r="D333" s="81" t="n"/>
      <c r="E333" s="81" t="n"/>
      <c r="F333" s="81" t="n"/>
      <c r="G333" s="81" t="n"/>
      <c r="H333" s="81" t="n"/>
      <c r="I333" s="81" t="n"/>
      <c r="J333" s="81" t="n"/>
      <c r="K333" s="81" t="n"/>
      <c r="L333" s="113" t="n"/>
      <c r="M333" s="81" t="n"/>
      <c r="N333" s="81" t="n"/>
      <c r="O333" s="81" t="n"/>
      <c r="P333" s="81" t="n"/>
      <c r="Q333" s="113" t="n"/>
      <c r="R333" s="113" t="n"/>
      <c r="S333" s="113" t="n"/>
      <c r="T333" s="81" t="n"/>
      <c r="U333" s="81" t="n"/>
      <c r="V333" s="113" t="n"/>
      <c r="W333" s="81" t="n"/>
      <c r="X333" s="81" t="n"/>
      <c r="Y333" s="81" t="n"/>
      <c r="Z333" s="81" t="n"/>
      <c r="AA333" s="81" t="n"/>
      <c r="AB333" s="81" t="n"/>
      <c r="AC333" s="81" t="n"/>
      <c r="AD333" s="81" t="n"/>
      <c r="AE333" s="81" t="n"/>
      <c r="AF333" s="81" t="n"/>
      <c r="AG333" s="81" t="n"/>
      <c r="AH333" s="113" t="n"/>
      <c r="AI333" s="81" t="n"/>
      <c r="AJ333" s="81" t="n"/>
      <c r="AK333" s="113" t="n"/>
      <c r="AL333" s="81" t="n"/>
      <c r="AM333" s="81" t="n"/>
      <c r="AN333" s="81" t="n"/>
      <c r="AO333" s="113" t="n"/>
      <c r="AP333" s="113" t="n"/>
      <c r="AQ333" s="81" t="n"/>
      <c r="AR333" s="113" t="n"/>
      <c r="AS333" s="113" t="n"/>
      <c r="AT333" s="114" t="n"/>
      <c r="AU333" s="81" t="n"/>
      <c r="AV333" s="114" t="n"/>
      <c r="AW333" s="114" t="n"/>
      <c r="AX333" s="81" t="n"/>
      <c r="AY333" s="113" t="n"/>
      <c r="AZ333" s="115">
        <f>IF($B333="","",COUNTIF(References!$A$4:$A$503,$A333))</f>
        <v/>
      </c>
      <c r="BA333" s="115">
        <f>IF($B333="","",(LEN(A333)=0)+(LEN(B333)=0)+(LEN(D333)=0)+(LEN(G333)=0)+(LEN(H333)=0)+(LEN(I333)=0)+(LEN(J333)=0)+(LEN(L333)=0)+(LEN(M333)=0)+(LEN(O333)=0)+(LEN(R333)=0)+(LEN(X333)=0)+(LEN(AI333)=0)+(LEN(AJ333)=0)+(LEN(AQ333)=0)+(LEN(AR333)=0)+(LEN(AT333)=0)+(LEN(AU333)=0)+(LEN(AV333)=0)+(LEN(AX333)=0))</f>
        <v/>
      </c>
      <c r="BB333" s="115">
        <f>IF($B333="","",IF(AND(BA333=0,AZ333&gt;=1),"Complete","Incomplete"))</f>
        <v/>
      </c>
    </row>
    <row r="334" ht="15" customHeight="1" s="62">
      <c r="A334" s="81" t="n"/>
      <c r="B334" s="113" t="n"/>
      <c r="C334" s="81" t="n"/>
      <c r="D334" s="81" t="n"/>
      <c r="E334" s="81" t="n"/>
      <c r="F334" s="81" t="n"/>
      <c r="G334" s="81" t="n"/>
      <c r="H334" s="81" t="n"/>
      <c r="I334" s="81" t="n"/>
      <c r="J334" s="81" t="n"/>
      <c r="K334" s="81" t="n"/>
      <c r="L334" s="113" t="n"/>
      <c r="M334" s="81" t="n"/>
      <c r="N334" s="81" t="n"/>
      <c r="O334" s="81" t="n"/>
      <c r="P334" s="81" t="n"/>
      <c r="Q334" s="113" t="n"/>
      <c r="R334" s="113" t="n"/>
      <c r="S334" s="113" t="n"/>
      <c r="T334" s="81" t="n"/>
      <c r="U334" s="81" t="n"/>
      <c r="V334" s="113" t="n"/>
      <c r="W334" s="81" t="n"/>
      <c r="X334" s="81" t="n"/>
      <c r="Y334" s="81" t="n"/>
      <c r="Z334" s="81" t="n"/>
      <c r="AA334" s="81" t="n"/>
      <c r="AB334" s="81" t="n"/>
      <c r="AC334" s="81" t="n"/>
      <c r="AD334" s="81" t="n"/>
      <c r="AE334" s="81" t="n"/>
      <c r="AF334" s="81" t="n"/>
      <c r="AG334" s="81" t="n"/>
      <c r="AH334" s="113" t="n"/>
      <c r="AI334" s="81" t="n"/>
      <c r="AJ334" s="81" t="n"/>
      <c r="AK334" s="113" t="n"/>
      <c r="AL334" s="81" t="n"/>
      <c r="AM334" s="81" t="n"/>
      <c r="AN334" s="81" t="n"/>
      <c r="AO334" s="113" t="n"/>
      <c r="AP334" s="113" t="n"/>
      <c r="AQ334" s="81" t="n"/>
      <c r="AR334" s="113" t="n"/>
      <c r="AS334" s="113" t="n"/>
      <c r="AT334" s="114" t="n"/>
      <c r="AU334" s="81" t="n"/>
      <c r="AV334" s="114" t="n"/>
      <c r="AW334" s="114" t="n"/>
      <c r="AX334" s="81" t="n"/>
      <c r="AY334" s="113" t="n"/>
      <c r="AZ334" s="115">
        <f>IF($B334="","",COUNTIF(References!$A$4:$A$503,$A334))</f>
        <v/>
      </c>
      <c r="BA334" s="115">
        <f>IF($B334="","",(LEN(A334)=0)+(LEN(B334)=0)+(LEN(D334)=0)+(LEN(G334)=0)+(LEN(H334)=0)+(LEN(I334)=0)+(LEN(J334)=0)+(LEN(L334)=0)+(LEN(M334)=0)+(LEN(O334)=0)+(LEN(R334)=0)+(LEN(X334)=0)+(LEN(AI334)=0)+(LEN(AJ334)=0)+(LEN(AQ334)=0)+(LEN(AR334)=0)+(LEN(AT334)=0)+(LEN(AU334)=0)+(LEN(AV334)=0)+(LEN(AX334)=0))</f>
        <v/>
      </c>
      <c r="BB334" s="115">
        <f>IF($B334="","",IF(AND(BA334=0,AZ334&gt;=1),"Complete","Incomplete"))</f>
        <v/>
      </c>
    </row>
    <row r="335" ht="15" customHeight="1" s="62">
      <c r="A335" s="81" t="n"/>
      <c r="B335" s="113" t="n"/>
      <c r="C335" s="81" t="n"/>
      <c r="D335" s="81" t="n"/>
      <c r="E335" s="81" t="n"/>
      <c r="F335" s="81" t="n"/>
      <c r="G335" s="81" t="n"/>
      <c r="H335" s="81" t="n"/>
      <c r="I335" s="81" t="n"/>
      <c r="J335" s="81" t="n"/>
      <c r="K335" s="81" t="n"/>
      <c r="L335" s="113" t="n"/>
      <c r="M335" s="81" t="n"/>
      <c r="N335" s="81" t="n"/>
      <c r="O335" s="81" t="n"/>
      <c r="P335" s="81" t="n"/>
      <c r="Q335" s="113" t="n"/>
      <c r="R335" s="113" t="n"/>
      <c r="S335" s="113" t="n"/>
      <c r="T335" s="81" t="n"/>
      <c r="U335" s="81" t="n"/>
      <c r="V335" s="113" t="n"/>
      <c r="W335" s="81" t="n"/>
      <c r="X335" s="81" t="n"/>
      <c r="Y335" s="81" t="n"/>
      <c r="Z335" s="81" t="n"/>
      <c r="AA335" s="81" t="n"/>
      <c r="AB335" s="81" t="n"/>
      <c r="AC335" s="81" t="n"/>
      <c r="AD335" s="81" t="n"/>
      <c r="AE335" s="81" t="n"/>
      <c r="AF335" s="81" t="n"/>
      <c r="AG335" s="81" t="n"/>
      <c r="AH335" s="113" t="n"/>
      <c r="AI335" s="81" t="n"/>
      <c r="AJ335" s="81" t="n"/>
      <c r="AK335" s="113" t="n"/>
      <c r="AL335" s="81" t="n"/>
      <c r="AM335" s="81" t="n"/>
      <c r="AN335" s="81" t="n"/>
      <c r="AO335" s="113" t="n"/>
      <c r="AP335" s="113" t="n"/>
      <c r="AQ335" s="81" t="n"/>
      <c r="AR335" s="113" t="n"/>
      <c r="AS335" s="113" t="n"/>
      <c r="AT335" s="114" t="n"/>
      <c r="AU335" s="81" t="n"/>
      <c r="AV335" s="114" t="n"/>
      <c r="AW335" s="114" t="n"/>
      <c r="AX335" s="81" t="n"/>
      <c r="AY335" s="113" t="n"/>
      <c r="AZ335" s="115">
        <f>IF($B335="","",COUNTIF(References!$A$4:$A$503,$A335))</f>
        <v/>
      </c>
      <c r="BA335" s="115">
        <f>IF($B335="","",(LEN(A335)=0)+(LEN(B335)=0)+(LEN(D335)=0)+(LEN(G335)=0)+(LEN(H335)=0)+(LEN(I335)=0)+(LEN(J335)=0)+(LEN(L335)=0)+(LEN(M335)=0)+(LEN(O335)=0)+(LEN(R335)=0)+(LEN(X335)=0)+(LEN(AI335)=0)+(LEN(AJ335)=0)+(LEN(AQ335)=0)+(LEN(AR335)=0)+(LEN(AT335)=0)+(LEN(AU335)=0)+(LEN(AV335)=0)+(LEN(AX335)=0))</f>
        <v/>
      </c>
      <c r="BB335" s="115">
        <f>IF($B335="","",IF(AND(BA335=0,AZ335&gt;=1),"Complete","Incomplete"))</f>
        <v/>
      </c>
    </row>
    <row r="336" ht="15" customHeight="1" s="62">
      <c r="A336" s="81" t="n"/>
      <c r="B336" s="113" t="n"/>
      <c r="C336" s="81" t="n"/>
      <c r="D336" s="81" t="n"/>
      <c r="E336" s="81" t="n"/>
      <c r="F336" s="81" t="n"/>
      <c r="G336" s="81" t="n"/>
      <c r="H336" s="81" t="n"/>
      <c r="I336" s="81" t="n"/>
      <c r="J336" s="81" t="n"/>
      <c r="K336" s="81" t="n"/>
      <c r="L336" s="113" t="n"/>
      <c r="M336" s="81" t="n"/>
      <c r="N336" s="81" t="n"/>
      <c r="O336" s="81" t="n"/>
      <c r="P336" s="81" t="n"/>
      <c r="Q336" s="113" t="n"/>
      <c r="R336" s="113" t="n"/>
      <c r="S336" s="113" t="n"/>
      <c r="T336" s="81" t="n"/>
      <c r="U336" s="81" t="n"/>
      <c r="V336" s="113" t="n"/>
      <c r="W336" s="81" t="n"/>
      <c r="X336" s="81" t="n"/>
      <c r="Y336" s="81" t="n"/>
      <c r="Z336" s="81" t="n"/>
      <c r="AA336" s="81" t="n"/>
      <c r="AB336" s="81" t="n"/>
      <c r="AC336" s="81" t="n"/>
      <c r="AD336" s="81" t="n"/>
      <c r="AE336" s="81" t="n"/>
      <c r="AF336" s="81" t="n"/>
      <c r="AG336" s="81" t="n"/>
      <c r="AH336" s="113" t="n"/>
      <c r="AI336" s="81" t="n"/>
      <c r="AJ336" s="81" t="n"/>
      <c r="AK336" s="113" t="n"/>
      <c r="AL336" s="81" t="n"/>
      <c r="AM336" s="81" t="n"/>
      <c r="AN336" s="81" t="n"/>
      <c r="AO336" s="113" t="n"/>
      <c r="AP336" s="113" t="n"/>
      <c r="AQ336" s="81" t="n"/>
      <c r="AR336" s="113" t="n"/>
      <c r="AS336" s="113" t="n"/>
      <c r="AT336" s="114" t="n"/>
      <c r="AU336" s="81" t="n"/>
      <c r="AV336" s="114" t="n"/>
      <c r="AW336" s="114" t="n"/>
      <c r="AX336" s="81" t="n"/>
      <c r="AY336" s="113" t="n"/>
      <c r="AZ336" s="115">
        <f>IF($B336="","",COUNTIF(References!$A$4:$A$503,$A336))</f>
        <v/>
      </c>
      <c r="BA336" s="115">
        <f>IF($B336="","",(LEN(A336)=0)+(LEN(B336)=0)+(LEN(D336)=0)+(LEN(G336)=0)+(LEN(H336)=0)+(LEN(I336)=0)+(LEN(J336)=0)+(LEN(L336)=0)+(LEN(M336)=0)+(LEN(O336)=0)+(LEN(R336)=0)+(LEN(X336)=0)+(LEN(AI336)=0)+(LEN(AJ336)=0)+(LEN(AQ336)=0)+(LEN(AR336)=0)+(LEN(AT336)=0)+(LEN(AU336)=0)+(LEN(AV336)=0)+(LEN(AX336)=0))</f>
        <v/>
      </c>
      <c r="BB336" s="115">
        <f>IF($B336="","",IF(AND(BA336=0,AZ336&gt;=1),"Complete","Incomplete"))</f>
        <v/>
      </c>
    </row>
    <row r="337" ht="15" customHeight="1" s="62">
      <c r="A337" s="81" t="n"/>
      <c r="B337" s="113" t="n"/>
      <c r="C337" s="81" t="n"/>
      <c r="D337" s="81" t="n"/>
      <c r="E337" s="81" t="n"/>
      <c r="F337" s="81" t="n"/>
      <c r="G337" s="81" t="n"/>
      <c r="H337" s="81" t="n"/>
      <c r="I337" s="81" t="n"/>
      <c r="J337" s="81" t="n"/>
      <c r="K337" s="81" t="n"/>
      <c r="L337" s="113" t="n"/>
      <c r="M337" s="81" t="n"/>
      <c r="N337" s="81" t="n"/>
      <c r="O337" s="81" t="n"/>
      <c r="P337" s="81" t="n"/>
      <c r="Q337" s="113" t="n"/>
      <c r="R337" s="113" t="n"/>
      <c r="S337" s="113" t="n"/>
      <c r="T337" s="81" t="n"/>
      <c r="U337" s="81" t="n"/>
      <c r="V337" s="113" t="n"/>
      <c r="W337" s="81" t="n"/>
      <c r="X337" s="81" t="n"/>
      <c r="Y337" s="81" t="n"/>
      <c r="Z337" s="81" t="n"/>
      <c r="AA337" s="81" t="n"/>
      <c r="AB337" s="81" t="n"/>
      <c r="AC337" s="81" t="n"/>
      <c r="AD337" s="81" t="n"/>
      <c r="AE337" s="81" t="n"/>
      <c r="AF337" s="81" t="n"/>
      <c r="AG337" s="81" t="n"/>
      <c r="AH337" s="113" t="n"/>
      <c r="AI337" s="81" t="n"/>
      <c r="AJ337" s="81" t="n"/>
      <c r="AK337" s="113" t="n"/>
      <c r="AL337" s="81" t="n"/>
      <c r="AM337" s="81" t="n"/>
      <c r="AN337" s="81" t="n"/>
      <c r="AO337" s="113" t="n"/>
      <c r="AP337" s="113" t="n"/>
      <c r="AQ337" s="81" t="n"/>
      <c r="AR337" s="113" t="n"/>
      <c r="AS337" s="113" t="n"/>
      <c r="AT337" s="114" t="n"/>
      <c r="AU337" s="81" t="n"/>
      <c r="AV337" s="114" t="n"/>
      <c r="AW337" s="114" t="n"/>
      <c r="AX337" s="81" t="n"/>
      <c r="AY337" s="113" t="n"/>
      <c r="AZ337" s="115">
        <f>IF($B337="","",COUNTIF(References!$A$4:$A$503,$A337))</f>
        <v/>
      </c>
      <c r="BA337" s="115">
        <f>IF($B337="","",(LEN(A337)=0)+(LEN(B337)=0)+(LEN(D337)=0)+(LEN(G337)=0)+(LEN(H337)=0)+(LEN(I337)=0)+(LEN(J337)=0)+(LEN(L337)=0)+(LEN(M337)=0)+(LEN(O337)=0)+(LEN(R337)=0)+(LEN(X337)=0)+(LEN(AI337)=0)+(LEN(AJ337)=0)+(LEN(AQ337)=0)+(LEN(AR337)=0)+(LEN(AT337)=0)+(LEN(AU337)=0)+(LEN(AV337)=0)+(LEN(AX337)=0))</f>
        <v/>
      </c>
      <c r="BB337" s="115">
        <f>IF($B337="","",IF(AND(BA337=0,AZ337&gt;=1),"Complete","Incomplete"))</f>
        <v/>
      </c>
    </row>
    <row r="338" ht="15" customHeight="1" s="62">
      <c r="A338" s="81" t="n"/>
      <c r="B338" s="113" t="n"/>
      <c r="C338" s="81" t="n"/>
      <c r="D338" s="81" t="n"/>
      <c r="E338" s="81" t="n"/>
      <c r="F338" s="81" t="n"/>
      <c r="G338" s="81" t="n"/>
      <c r="H338" s="81" t="n"/>
      <c r="I338" s="81" t="n"/>
      <c r="J338" s="81" t="n"/>
      <c r="K338" s="81" t="n"/>
      <c r="L338" s="113" t="n"/>
      <c r="M338" s="81" t="n"/>
      <c r="N338" s="81" t="n"/>
      <c r="O338" s="81" t="n"/>
      <c r="P338" s="81" t="n"/>
      <c r="Q338" s="113" t="n"/>
      <c r="R338" s="113" t="n"/>
      <c r="S338" s="113" t="n"/>
      <c r="T338" s="81" t="n"/>
      <c r="U338" s="81" t="n"/>
      <c r="V338" s="113" t="n"/>
      <c r="W338" s="81" t="n"/>
      <c r="X338" s="81" t="n"/>
      <c r="Y338" s="81" t="n"/>
      <c r="Z338" s="81" t="n"/>
      <c r="AA338" s="81" t="n"/>
      <c r="AB338" s="81" t="n"/>
      <c r="AC338" s="81" t="n"/>
      <c r="AD338" s="81" t="n"/>
      <c r="AE338" s="81" t="n"/>
      <c r="AF338" s="81" t="n"/>
      <c r="AG338" s="81" t="n"/>
      <c r="AH338" s="113" t="n"/>
      <c r="AI338" s="81" t="n"/>
      <c r="AJ338" s="81" t="n"/>
      <c r="AK338" s="113" t="n"/>
      <c r="AL338" s="81" t="n"/>
      <c r="AM338" s="81" t="n"/>
      <c r="AN338" s="81" t="n"/>
      <c r="AO338" s="113" t="n"/>
      <c r="AP338" s="113" t="n"/>
      <c r="AQ338" s="81" t="n"/>
      <c r="AR338" s="113" t="n"/>
      <c r="AS338" s="113" t="n"/>
      <c r="AT338" s="114" t="n"/>
      <c r="AU338" s="81" t="n"/>
      <c r="AV338" s="114" t="n"/>
      <c r="AW338" s="114" t="n"/>
      <c r="AX338" s="81" t="n"/>
      <c r="AY338" s="113" t="n"/>
      <c r="AZ338" s="115">
        <f>IF($B338="","",COUNTIF(References!$A$4:$A$503,$A338))</f>
        <v/>
      </c>
      <c r="BA338" s="115">
        <f>IF($B338="","",(LEN(A338)=0)+(LEN(B338)=0)+(LEN(D338)=0)+(LEN(G338)=0)+(LEN(H338)=0)+(LEN(I338)=0)+(LEN(J338)=0)+(LEN(L338)=0)+(LEN(M338)=0)+(LEN(O338)=0)+(LEN(R338)=0)+(LEN(X338)=0)+(LEN(AI338)=0)+(LEN(AJ338)=0)+(LEN(AQ338)=0)+(LEN(AR338)=0)+(LEN(AT338)=0)+(LEN(AU338)=0)+(LEN(AV338)=0)+(LEN(AX338)=0))</f>
        <v/>
      </c>
      <c r="BB338" s="115">
        <f>IF($B338="","",IF(AND(BA338=0,AZ338&gt;=1),"Complete","Incomplete"))</f>
        <v/>
      </c>
    </row>
    <row r="339" ht="15" customHeight="1" s="62">
      <c r="A339" s="81" t="n"/>
      <c r="B339" s="113" t="n"/>
      <c r="C339" s="81" t="n"/>
      <c r="D339" s="81" t="n"/>
      <c r="E339" s="81" t="n"/>
      <c r="F339" s="81" t="n"/>
      <c r="G339" s="81" t="n"/>
      <c r="H339" s="81" t="n"/>
      <c r="I339" s="81" t="n"/>
      <c r="J339" s="81" t="n"/>
      <c r="K339" s="81" t="n"/>
      <c r="L339" s="113" t="n"/>
      <c r="M339" s="81" t="n"/>
      <c r="N339" s="81" t="n"/>
      <c r="O339" s="81" t="n"/>
      <c r="P339" s="81" t="n"/>
      <c r="Q339" s="113" t="n"/>
      <c r="R339" s="113" t="n"/>
      <c r="S339" s="113" t="n"/>
      <c r="T339" s="81" t="n"/>
      <c r="U339" s="81" t="n"/>
      <c r="V339" s="113" t="n"/>
      <c r="W339" s="81" t="n"/>
      <c r="X339" s="81" t="n"/>
      <c r="Y339" s="81" t="n"/>
      <c r="Z339" s="81" t="n"/>
      <c r="AA339" s="81" t="n"/>
      <c r="AB339" s="81" t="n"/>
      <c r="AC339" s="81" t="n"/>
      <c r="AD339" s="81" t="n"/>
      <c r="AE339" s="81" t="n"/>
      <c r="AF339" s="81" t="n"/>
      <c r="AG339" s="81" t="n"/>
      <c r="AH339" s="113" t="n"/>
      <c r="AI339" s="81" t="n"/>
      <c r="AJ339" s="81" t="n"/>
      <c r="AK339" s="113" t="n"/>
      <c r="AL339" s="81" t="n"/>
      <c r="AM339" s="81" t="n"/>
      <c r="AN339" s="81" t="n"/>
      <c r="AO339" s="113" t="n"/>
      <c r="AP339" s="113" t="n"/>
      <c r="AQ339" s="81" t="n"/>
      <c r="AR339" s="113" t="n"/>
      <c r="AS339" s="113" t="n"/>
      <c r="AT339" s="114" t="n"/>
      <c r="AU339" s="81" t="n"/>
      <c r="AV339" s="114" t="n"/>
      <c r="AW339" s="114" t="n"/>
      <c r="AX339" s="81" t="n"/>
      <c r="AY339" s="113" t="n"/>
      <c r="AZ339" s="115">
        <f>IF($B339="","",COUNTIF(References!$A$4:$A$503,$A339))</f>
        <v/>
      </c>
      <c r="BA339" s="115">
        <f>IF($B339="","",(LEN(A339)=0)+(LEN(B339)=0)+(LEN(D339)=0)+(LEN(G339)=0)+(LEN(H339)=0)+(LEN(I339)=0)+(LEN(J339)=0)+(LEN(L339)=0)+(LEN(M339)=0)+(LEN(O339)=0)+(LEN(R339)=0)+(LEN(X339)=0)+(LEN(AI339)=0)+(LEN(AJ339)=0)+(LEN(AQ339)=0)+(LEN(AR339)=0)+(LEN(AT339)=0)+(LEN(AU339)=0)+(LEN(AV339)=0)+(LEN(AX339)=0))</f>
        <v/>
      </c>
      <c r="BB339" s="115">
        <f>IF($B339="","",IF(AND(BA339=0,AZ339&gt;=1),"Complete","Incomplete"))</f>
        <v/>
      </c>
    </row>
    <row r="340" ht="15" customHeight="1" s="62">
      <c r="A340" s="81" t="n"/>
      <c r="B340" s="113" t="n"/>
      <c r="C340" s="81" t="n"/>
      <c r="D340" s="81" t="n"/>
      <c r="E340" s="81" t="n"/>
      <c r="F340" s="81" t="n"/>
      <c r="G340" s="81" t="n"/>
      <c r="H340" s="81" t="n"/>
      <c r="I340" s="81" t="n"/>
      <c r="J340" s="81" t="n"/>
      <c r="K340" s="81" t="n"/>
      <c r="L340" s="113" t="n"/>
      <c r="M340" s="81" t="n"/>
      <c r="N340" s="81" t="n"/>
      <c r="O340" s="81" t="n"/>
      <c r="P340" s="81" t="n"/>
      <c r="Q340" s="113" t="n"/>
      <c r="R340" s="113" t="n"/>
      <c r="S340" s="113" t="n"/>
      <c r="T340" s="81" t="n"/>
      <c r="U340" s="81" t="n"/>
      <c r="V340" s="113" t="n"/>
      <c r="W340" s="81" t="n"/>
      <c r="X340" s="81" t="n"/>
      <c r="Y340" s="81" t="n"/>
      <c r="Z340" s="81" t="n"/>
      <c r="AA340" s="81" t="n"/>
      <c r="AB340" s="81" t="n"/>
      <c r="AC340" s="81" t="n"/>
      <c r="AD340" s="81" t="n"/>
      <c r="AE340" s="81" t="n"/>
      <c r="AF340" s="81" t="n"/>
      <c r="AG340" s="81" t="n"/>
      <c r="AH340" s="113" t="n"/>
      <c r="AI340" s="81" t="n"/>
      <c r="AJ340" s="81" t="n"/>
      <c r="AK340" s="113" t="n"/>
      <c r="AL340" s="81" t="n"/>
      <c r="AM340" s="81" t="n"/>
      <c r="AN340" s="81" t="n"/>
      <c r="AO340" s="113" t="n"/>
      <c r="AP340" s="113" t="n"/>
      <c r="AQ340" s="81" t="n"/>
      <c r="AR340" s="113" t="n"/>
      <c r="AS340" s="113" t="n"/>
      <c r="AT340" s="114" t="n"/>
      <c r="AU340" s="81" t="n"/>
      <c r="AV340" s="114" t="n"/>
      <c r="AW340" s="114" t="n"/>
      <c r="AX340" s="81" t="n"/>
      <c r="AY340" s="113" t="n"/>
      <c r="AZ340" s="115">
        <f>IF($B340="","",COUNTIF(References!$A$4:$A$503,$A340))</f>
        <v/>
      </c>
      <c r="BA340" s="115">
        <f>IF($B340="","",(LEN(A340)=0)+(LEN(B340)=0)+(LEN(D340)=0)+(LEN(G340)=0)+(LEN(H340)=0)+(LEN(I340)=0)+(LEN(J340)=0)+(LEN(L340)=0)+(LEN(M340)=0)+(LEN(O340)=0)+(LEN(R340)=0)+(LEN(X340)=0)+(LEN(AI340)=0)+(LEN(AJ340)=0)+(LEN(AQ340)=0)+(LEN(AR340)=0)+(LEN(AT340)=0)+(LEN(AU340)=0)+(LEN(AV340)=0)+(LEN(AX340)=0))</f>
        <v/>
      </c>
      <c r="BB340" s="115">
        <f>IF($B340="","",IF(AND(BA340=0,AZ340&gt;=1),"Complete","Incomplete"))</f>
        <v/>
      </c>
    </row>
    <row r="341" ht="15" customHeight="1" s="62">
      <c r="A341" s="81" t="n"/>
      <c r="B341" s="113" t="n"/>
      <c r="C341" s="81" t="n"/>
      <c r="D341" s="81" t="n"/>
      <c r="E341" s="81" t="n"/>
      <c r="F341" s="81" t="n"/>
      <c r="G341" s="81" t="n"/>
      <c r="H341" s="81" t="n"/>
      <c r="I341" s="81" t="n"/>
      <c r="J341" s="81" t="n"/>
      <c r="K341" s="81" t="n"/>
      <c r="L341" s="113" t="n"/>
      <c r="M341" s="81" t="n"/>
      <c r="N341" s="81" t="n"/>
      <c r="O341" s="81" t="n"/>
      <c r="P341" s="81" t="n"/>
      <c r="Q341" s="113" t="n"/>
      <c r="R341" s="113" t="n"/>
      <c r="S341" s="113" t="n"/>
      <c r="T341" s="81" t="n"/>
      <c r="U341" s="81" t="n"/>
      <c r="V341" s="113" t="n"/>
      <c r="W341" s="81" t="n"/>
      <c r="X341" s="81" t="n"/>
      <c r="Y341" s="81" t="n"/>
      <c r="Z341" s="81" t="n"/>
      <c r="AA341" s="81" t="n"/>
      <c r="AB341" s="81" t="n"/>
      <c r="AC341" s="81" t="n"/>
      <c r="AD341" s="81" t="n"/>
      <c r="AE341" s="81" t="n"/>
      <c r="AF341" s="81" t="n"/>
      <c r="AG341" s="81" t="n"/>
      <c r="AH341" s="113" t="n"/>
      <c r="AI341" s="81" t="n"/>
      <c r="AJ341" s="81" t="n"/>
      <c r="AK341" s="113" t="n"/>
      <c r="AL341" s="81" t="n"/>
      <c r="AM341" s="81" t="n"/>
      <c r="AN341" s="81" t="n"/>
      <c r="AO341" s="113" t="n"/>
      <c r="AP341" s="113" t="n"/>
      <c r="AQ341" s="81" t="n"/>
      <c r="AR341" s="113" t="n"/>
      <c r="AS341" s="113" t="n"/>
      <c r="AT341" s="114" t="n"/>
      <c r="AU341" s="81" t="n"/>
      <c r="AV341" s="114" t="n"/>
      <c r="AW341" s="114" t="n"/>
      <c r="AX341" s="81" t="n"/>
      <c r="AY341" s="113" t="n"/>
      <c r="AZ341" s="115">
        <f>IF($B341="","",COUNTIF(References!$A$4:$A$503,$A341))</f>
        <v/>
      </c>
      <c r="BA341" s="115">
        <f>IF($B341="","",(LEN(A341)=0)+(LEN(B341)=0)+(LEN(D341)=0)+(LEN(G341)=0)+(LEN(H341)=0)+(LEN(I341)=0)+(LEN(J341)=0)+(LEN(L341)=0)+(LEN(M341)=0)+(LEN(O341)=0)+(LEN(R341)=0)+(LEN(X341)=0)+(LEN(AI341)=0)+(LEN(AJ341)=0)+(LEN(AQ341)=0)+(LEN(AR341)=0)+(LEN(AT341)=0)+(LEN(AU341)=0)+(LEN(AV341)=0)+(LEN(AX341)=0))</f>
        <v/>
      </c>
      <c r="BB341" s="115">
        <f>IF($B341="","",IF(AND(BA341=0,AZ341&gt;=1),"Complete","Incomplete"))</f>
        <v/>
      </c>
    </row>
    <row r="342" ht="15" customHeight="1" s="62">
      <c r="A342" s="81" t="n"/>
      <c r="B342" s="113" t="n"/>
      <c r="C342" s="81" t="n"/>
      <c r="D342" s="81" t="n"/>
      <c r="E342" s="81" t="n"/>
      <c r="F342" s="81" t="n"/>
      <c r="G342" s="81" t="n"/>
      <c r="H342" s="81" t="n"/>
      <c r="I342" s="81" t="n"/>
      <c r="J342" s="81" t="n"/>
      <c r="K342" s="81" t="n"/>
      <c r="L342" s="113" t="n"/>
      <c r="M342" s="81" t="n"/>
      <c r="N342" s="81" t="n"/>
      <c r="O342" s="81" t="n"/>
      <c r="P342" s="81" t="n"/>
      <c r="Q342" s="113" t="n"/>
      <c r="R342" s="113" t="n"/>
      <c r="S342" s="113" t="n"/>
      <c r="T342" s="81" t="n"/>
      <c r="U342" s="81" t="n"/>
      <c r="V342" s="113" t="n"/>
      <c r="W342" s="81" t="n"/>
      <c r="X342" s="81" t="n"/>
      <c r="Y342" s="81" t="n"/>
      <c r="Z342" s="81" t="n"/>
      <c r="AA342" s="81" t="n"/>
      <c r="AB342" s="81" t="n"/>
      <c r="AC342" s="81" t="n"/>
      <c r="AD342" s="81" t="n"/>
      <c r="AE342" s="81" t="n"/>
      <c r="AF342" s="81" t="n"/>
      <c r="AG342" s="81" t="n"/>
      <c r="AH342" s="113" t="n"/>
      <c r="AI342" s="81" t="n"/>
      <c r="AJ342" s="81" t="n"/>
      <c r="AK342" s="113" t="n"/>
      <c r="AL342" s="81" t="n"/>
      <c r="AM342" s="81" t="n"/>
      <c r="AN342" s="81" t="n"/>
      <c r="AO342" s="113" t="n"/>
      <c r="AP342" s="113" t="n"/>
      <c r="AQ342" s="81" t="n"/>
      <c r="AR342" s="113" t="n"/>
      <c r="AS342" s="113" t="n"/>
      <c r="AT342" s="114" t="n"/>
      <c r="AU342" s="81" t="n"/>
      <c r="AV342" s="114" t="n"/>
      <c r="AW342" s="114" t="n"/>
      <c r="AX342" s="81" t="n"/>
      <c r="AY342" s="113" t="n"/>
      <c r="AZ342" s="115">
        <f>IF($B342="","",COUNTIF(References!$A$4:$A$503,$A342))</f>
        <v/>
      </c>
      <c r="BA342" s="115">
        <f>IF($B342="","",(LEN(A342)=0)+(LEN(B342)=0)+(LEN(D342)=0)+(LEN(G342)=0)+(LEN(H342)=0)+(LEN(I342)=0)+(LEN(J342)=0)+(LEN(L342)=0)+(LEN(M342)=0)+(LEN(O342)=0)+(LEN(R342)=0)+(LEN(X342)=0)+(LEN(AI342)=0)+(LEN(AJ342)=0)+(LEN(AQ342)=0)+(LEN(AR342)=0)+(LEN(AT342)=0)+(LEN(AU342)=0)+(LEN(AV342)=0)+(LEN(AX342)=0))</f>
        <v/>
      </c>
      <c r="BB342" s="115">
        <f>IF($B342="","",IF(AND(BA342=0,AZ342&gt;=1),"Complete","Incomplete"))</f>
        <v/>
      </c>
    </row>
    <row r="343" ht="15" customHeight="1" s="62">
      <c r="A343" s="81" t="n"/>
      <c r="B343" s="113" t="n"/>
      <c r="C343" s="81" t="n"/>
      <c r="D343" s="81" t="n"/>
      <c r="E343" s="81" t="n"/>
      <c r="F343" s="81" t="n"/>
      <c r="G343" s="81" t="n"/>
      <c r="H343" s="81" t="n"/>
      <c r="I343" s="81" t="n"/>
      <c r="J343" s="81" t="n"/>
      <c r="K343" s="81" t="n"/>
      <c r="L343" s="113" t="n"/>
      <c r="M343" s="81" t="n"/>
      <c r="N343" s="81" t="n"/>
      <c r="O343" s="81" t="n"/>
      <c r="P343" s="81" t="n"/>
      <c r="Q343" s="113" t="n"/>
      <c r="R343" s="113" t="n"/>
      <c r="S343" s="113" t="n"/>
      <c r="T343" s="81" t="n"/>
      <c r="U343" s="81" t="n"/>
      <c r="V343" s="113" t="n"/>
      <c r="W343" s="81" t="n"/>
      <c r="X343" s="81" t="n"/>
      <c r="Y343" s="81" t="n"/>
      <c r="Z343" s="81" t="n"/>
      <c r="AA343" s="81" t="n"/>
      <c r="AB343" s="81" t="n"/>
      <c r="AC343" s="81" t="n"/>
      <c r="AD343" s="81" t="n"/>
      <c r="AE343" s="81" t="n"/>
      <c r="AF343" s="81" t="n"/>
      <c r="AG343" s="81" t="n"/>
      <c r="AH343" s="113" t="n"/>
      <c r="AI343" s="81" t="n"/>
      <c r="AJ343" s="81" t="n"/>
      <c r="AK343" s="113" t="n"/>
      <c r="AL343" s="81" t="n"/>
      <c r="AM343" s="81" t="n"/>
      <c r="AN343" s="81" t="n"/>
      <c r="AO343" s="113" t="n"/>
      <c r="AP343" s="113" t="n"/>
      <c r="AQ343" s="81" t="n"/>
      <c r="AR343" s="113" t="n"/>
      <c r="AS343" s="113" t="n"/>
      <c r="AT343" s="114" t="n"/>
      <c r="AU343" s="81" t="n"/>
      <c r="AV343" s="114" t="n"/>
      <c r="AW343" s="114" t="n"/>
      <c r="AX343" s="81" t="n"/>
      <c r="AY343" s="113" t="n"/>
      <c r="AZ343" s="115">
        <f>IF($B343="","",COUNTIF(References!$A$4:$A$503,$A343))</f>
        <v/>
      </c>
      <c r="BA343" s="115">
        <f>IF($B343="","",(LEN(A343)=0)+(LEN(B343)=0)+(LEN(D343)=0)+(LEN(G343)=0)+(LEN(H343)=0)+(LEN(I343)=0)+(LEN(J343)=0)+(LEN(L343)=0)+(LEN(M343)=0)+(LEN(O343)=0)+(LEN(R343)=0)+(LEN(X343)=0)+(LEN(AI343)=0)+(LEN(AJ343)=0)+(LEN(AQ343)=0)+(LEN(AR343)=0)+(LEN(AT343)=0)+(LEN(AU343)=0)+(LEN(AV343)=0)+(LEN(AX343)=0))</f>
        <v/>
      </c>
      <c r="BB343" s="115">
        <f>IF($B343="","",IF(AND(BA343=0,AZ343&gt;=1),"Complete","Incomplete"))</f>
        <v/>
      </c>
    </row>
    <row r="344" ht="15" customHeight="1" s="62">
      <c r="A344" s="81" t="n"/>
      <c r="B344" s="113" t="n"/>
      <c r="C344" s="81" t="n"/>
      <c r="D344" s="81" t="n"/>
      <c r="E344" s="81" t="n"/>
      <c r="F344" s="81" t="n"/>
      <c r="G344" s="81" t="n"/>
      <c r="H344" s="81" t="n"/>
      <c r="I344" s="81" t="n"/>
      <c r="J344" s="81" t="n"/>
      <c r="K344" s="81" t="n"/>
      <c r="L344" s="113" t="n"/>
      <c r="M344" s="81" t="n"/>
      <c r="N344" s="81" t="n"/>
      <c r="O344" s="81" t="n"/>
      <c r="P344" s="81" t="n"/>
      <c r="Q344" s="113" t="n"/>
      <c r="R344" s="113" t="n"/>
      <c r="S344" s="113" t="n"/>
      <c r="T344" s="81" t="n"/>
      <c r="U344" s="81" t="n"/>
      <c r="V344" s="113" t="n"/>
      <c r="W344" s="81" t="n"/>
      <c r="X344" s="81" t="n"/>
      <c r="Y344" s="81" t="n"/>
      <c r="Z344" s="81" t="n"/>
      <c r="AA344" s="81" t="n"/>
      <c r="AB344" s="81" t="n"/>
      <c r="AC344" s="81" t="n"/>
      <c r="AD344" s="81" t="n"/>
      <c r="AE344" s="81" t="n"/>
      <c r="AF344" s="81" t="n"/>
      <c r="AG344" s="81" t="n"/>
      <c r="AH344" s="113" t="n"/>
      <c r="AI344" s="81" t="n"/>
      <c r="AJ344" s="81" t="n"/>
      <c r="AK344" s="113" t="n"/>
      <c r="AL344" s="81" t="n"/>
      <c r="AM344" s="81" t="n"/>
      <c r="AN344" s="81" t="n"/>
      <c r="AO344" s="113" t="n"/>
      <c r="AP344" s="113" t="n"/>
      <c r="AQ344" s="81" t="n"/>
      <c r="AR344" s="113" t="n"/>
      <c r="AS344" s="113" t="n"/>
      <c r="AT344" s="114" t="n"/>
      <c r="AU344" s="81" t="n"/>
      <c r="AV344" s="114" t="n"/>
      <c r="AW344" s="114" t="n"/>
      <c r="AX344" s="81" t="n"/>
      <c r="AY344" s="113" t="n"/>
      <c r="AZ344" s="115">
        <f>IF($B344="","",COUNTIF(References!$A$4:$A$503,$A344))</f>
        <v/>
      </c>
      <c r="BA344" s="115">
        <f>IF($B344="","",(LEN(A344)=0)+(LEN(B344)=0)+(LEN(D344)=0)+(LEN(G344)=0)+(LEN(H344)=0)+(LEN(I344)=0)+(LEN(J344)=0)+(LEN(L344)=0)+(LEN(M344)=0)+(LEN(O344)=0)+(LEN(R344)=0)+(LEN(X344)=0)+(LEN(AI344)=0)+(LEN(AJ344)=0)+(LEN(AQ344)=0)+(LEN(AR344)=0)+(LEN(AT344)=0)+(LEN(AU344)=0)+(LEN(AV344)=0)+(LEN(AX344)=0))</f>
        <v/>
      </c>
      <c r="BB344" s="115">
        <f>IF($B344="","",IF(AND(BA344=0,AZ344&gt;=1),"Complete","Incomplete"))</f>
        <v/>
      </c>
    </row>
    <row r="345" ht="15" customHeight="1" s="62">
      <c r="A345" s="81" t="n"/>
      <c r="B345" s="113" t="n"/>
      <c r="C345" s="81" t="n"/>
      <c r="D345" s="81" t="n"/>
      <c r="E345" s="81" t="n"/>
      <c r="F345" s="81" t="n"/>
      <c r="G345" s="81" t="n"/>
      <c r="H345" s="81" t="n"/>
      <c r="I345" s="81" t="n"/>
      <c r="J345" s="81" t="n"/>
      <c r="K345" s="81" t="n"/>
      <c r="L345" s="113" t="n"/>
      <c r="M345" s="81" t="n"/>
      <c r="N345" s="81" t="n"/>
      <c r="O345" s="81" t="n"/>
      <c r="P345" s="81" t="n"/>
      <c r="Q345" s="113" t="n"/>
      <c r="R345" s="113" t="n"/>
      <c r="S345" s="113" t="n"/>
      <c r="T345" s="81" t="n"/>
      <c r="U345" s="81" t="n"/>
      <c r="V345" s="113" t="n"/>
      <c r="W345" s="81" t="n"/>
      <c r="X345" s="81" t="n"/>
      <c r="Y345" s="81" t="n"/>
      <c r="Z345" s="81" t="n"/>
      <c r="AA345" s="81" t="n"/>
      <c r="AB345" s="81" t="n"/>
      <c r="AC345" s="81" t="n"/>
      <c r="AD345" s="81" t="n"/>
      <c r="AE345" s="81" t="n"/>
      <c r="AF345" s="81" t="n"/>
      <c r="AG345" s="81" t="n"/>
      <c r="AH345" s="113" t="n"/>
      <c r="AI345" s="81" t="n"/>
      <c r="AJ345" s="81" t="n"/>
      <c r="AK345" s="113" t="n"/>
      <c r="AL345" s="81" t="n"/>
      <c r="AM345" s="81" t="n"/>
      <c r="AN345" s="81" t="n"/>
      <c r="AO345" s="113" t="n"/>
      <c r="AP345" s="113" t="n"/>
      <c r="AQ345" s="81" t="n"/>
      <c r="AR345" s="113" t="n"/>
      <c r="AS345" s="113" t="n"/>
      <c r="AT345" s="114" t="n"/>
      <c r="AU345" s="81" t="n"/>
      <c r="AV345" s="114" t="n"/>
      <c r="AW345" s="114" t="n"/>
      <c r="AX345" s="81" t="n"/>
      <c r="AY345" s="113" t="n"/>
      <c r="AZ345" s="115">
        <f>IF($B345="","",COUNTIF(References!$A$4:$A$503,$A345))</f>
        <v/>
      </c>
      <c r="BA345" s="115">
        <f>IF($B345="","",(LEN(A345)=0)+(LEN(B345)=0)+(LEN(D345)=0)+(LEN(G345)=0)+(LEN(H345)=0)+(LEN(I345)=0)+(LEN(J345)=0)+(LEN(L345)=0)+(LEN(M345)=0)+(LEN(O345)=0)+(LEN(R345)=0)+(LEN(X345)=0)+(LEN(AI345)=0)+(LEN(AJ345)=0)+(LEN(AQ345)=0)+(LEN(AR345)=0)+(LEN(AT345)=0)+(LEN(AU345)=0)+(LEN(AV345)=0)+(LEN(AX345)=0))</f>
        <v/>
      </c>
      <c r="BB345" s="115">
        <f>IF($B345="","",IF(AND(BA345=0,AZ345&gt;=1),"Complete","Incomplete"))</f>
        <v/>
      </c>
    </row>
    <row r="346" ht="15" customHeight="1" s="62">
      <c r="A346" s="81" t="n"/>
      <c r="B346" s="113" t="n"/>
      <c r="C346" s="81" t="n"/>
      <c r="D346" s="81" t="n"/>
      <c r="E346" s="81" t="n"/>
      <c r="F346" s="81" t="n"/>
      <c r="G346" s="81" t="n"/>
      <c r="H346" s="81" t="n"/>
      <c r="I346" s="81" t="n"/>
      <c r="J346" s="81" t="n"/>
      <c r="K346" s="81" t="n"/>
      <c r="L346" s="113" t="n"/>
      <c r="M346" s="81" t="n"/>
      <c r="N346" s="81" t="n"/>
      <c r="O346" s="81" t="n"/>
      <c r="P346" s="81" t="n"/>
      <c r="Q346" s="113" t="n"/>
      <c r="R346" s="113" t="n"/>
      <c r="S346" s="113" t="n"/>
      <c r="T346" s="81" t="n"/>
      <c r="U346" s="81" t="n"/>
      <c r="V346" s="113" t="n"/>
      <c r="W346" s="81" t="n"/>
      <c r="X346" s="81" t="n"/>
      <c r="Y346" s="81" t="n"/>
      <c r="Z346" s="81" t="n"/>
      <c r="AA346" s="81" t="n"/>
      <c r="AB346" s="81" t="n"/>
      <c r="AC346" s="81" t="n"/>
      <c r="AD346" s="81" t="n"/>
      <c r="AE346" s="81" t="n"/>
      <c r="AF346" s="81" t="n"/>
      <c r="AG346" s="81" t="n"/>
      <c r="AH346" s="113" t="n"/>
      <c r="AI346" s="81" t="n"/>
      <c r="AJ346" s="81" t="n"/>
      <c r="AK346" s="113" t="n"/>
      <c r="AL346" s="81" t="n"/>
      <c r="AM346" s="81" t="n"/>
      <c r="AN346" s="81" t="n"/>
      <c r="AO346" s="113" t="n"/>
      <c r="AP346" s="113" t="n"/>
      <c r="AQ346" s="81" t="n"/>
      <c r="AR346" s="113" t="n"/>
      <c r="AS346" s="113" t="n"/>
      <c r="AT346" s="114" t="n"/>
      <c r="AU346" s="81" t="n"/>
      <c r="AV346" s="114" t="n"/>
      <c r="AW346" s="114" t="n"/>
      <c r="AX346" s="81" t="n"/>
      <c r="AY346" s="113" t="n"/>
      <c r="AZ346" s="115">
        <f>IF($B346="","",COUNTIF(References!$A$4:$A$503,$A346))</f>
        <v/>
      </c>
      <c r="BA346" s="115">
        <f>IF($B346="","",(LEN(A346)=0)+(LEN(B346)=0)+(LEN(D346)=0)+(LEN(G346)=0)+(LEN(H346)=0)+(LEN(I346)=0)+(LEN(J346)=0)+(LEN(L346)=0)+(LEN(M346)=0)+(LEN(O346)=0)+(LEN(R346)=0)+(LEN(X346)=0)+(LEN(AI346)=0)+(LEN(AJ346)=0)+(LEN(AQ346)=0)+(LEN(AR346)=0)+(LEN(AT346)=0)+(LEN(AU346)=0)+(LEN(AV346)=0)+(LEN(AX346)=0))</f>
        <v/>
      </c>
      <c r="BB346" s="115">
        <f>IF($B346="","",IF(AND(BA346=0,AZ346&gt;=1),"Complete","Incomplete"))</f>
        <v/>
      </c>
    </row>
    <row r="347" ht="15" customHeight="1" s="62">
      <c r="A347" s="81" t="n"/>
      <c r="B347" s="113" t="n"/>
      <c r="C347" s="81" t="n"/>
      <c r="D347" s="81" t="n"/>
      <c r="E347" s="81" t="n"/>
      <c r="F347" s="81" t="n"/>
      <c r="G347" s="81" t="n"/>
      <c r="H347" s="81" t="n"/>
      <c r="I347" s="81" t="n"/>
      <c r="J347" s="81" t="n"/>
      <c r="K347" s="81" t="n"/>
      <c r="L347" s="113" t="n"/>
      <c r="M347" s="81" t="n"/>
      <c r="N347" s="81" t="n"/>
      <c r="O347" s="81" t="n"/>
      <c r="P347" s="81" t="n"/>
      <c r="Q347" s="113" t="n"/>
      <c r="R347" s="113" t="n"/>
      <c r="S347" s="113" t="n"/>
      <c r="T347" s="81" t="n"/>
      <c r="U347" s="81" t="n"/>
      <c r="V347" s="113" t="n"/>
      <c r="W347" s="81" t="n"/>
      <c r="X347" s="81" t="n"/>
      <c r="Y347" s="81" t="n"/>
      <c r="Z347" s="81" t="n"/>
      <c r="AA347" s="81" t="n"/>
      <c r="AB347" s="81" t="n"/>
      <c r="AC347" s="81" t="n"/>
      <c r="AD347" s="81" t="n"/>
      <c r="AE347" s="81" t="n"/>
      <c r="AF347" s="81" t="n"/>
      <c r="AG347" s="81" t="n"/>
      <c r="AH347" s="113" t="n"/>
      <c r="AI347" s="81" t="n"/>
      <c r="AJ347" s="81" t="n"/>
      <c r="AK347" s="113" t="n"/>
      <c r="AL347" s="81" t="n"/>
      <c r="AM347" s="81" t="n"/>
      <c r="AN347" s="81" t="n"/>
      <c r="AO347" s="113" t="n"/>
      <c r="AP347" s="113" t="n"/>
      <c r="AQ347" s="81" t="n"/>
      <c r="AR347" s="113" t="n"/>
      <c r="AS347" s="113" t="n"/>
      <c r="AT347" s="114" t="n"/>
      <c r="AU347" s="81" t="n"/>
      <c r="AV347" s="114" t="n"/>
      <c r="AW347" s="114" t="n"/>
      <c r="AX347" s="81" t="n"/>
      <c r="AY347" s="113" t="n"/>
      <c r="AZ347" s="115">
        <f>IF($B347="","",COUNTIF(References!$A$4:$A$503,$A347))</f>
        <v/>
      </c>
      <c r="BA347" s="115">
        <f>IF($B347="","",(LEN(A347)=0)+(LEN(B347)=0)+(LEN(D347)=0)+(LEN(G347)=0)+(LEN(H347)=0)+(LEN(I347)=0)+(LEN(J347)=0)+(LEN(L347)=0)+(LEN(M347)=0)+(LEN(O347)=0)+(LEN(R347)=0)+(LEN(X347)=0)+(LEN(AI347)=0)+(LEN(AJ347)=0)+(LEN(AQ347)=0)+(LEN(AR347)=0)+(LEN(AT347)=0)+(LEN(AU347)=0)+(LEN(AV347)=0)+(LEN(AX347)=0))</f>
        <v/>
      </c>
      <c r="BB347" s="115">
        <f>IF($B347="","",IF(AND(BA347=0,AZ347&gt;=1),"Complete","Incomplete"))</f>
        <v/>
      </c>
    </row>
    <row r="348" ht="15" customHeight="1" s="62">
      <c r="A348" s="81" t="n"/>
      <c r="B348" s="113" t="n"/>
      <c r="C348" s="81" t="n"/>
      <c r="D348" s="81" t="n"/>
      <c r="E348" s="81" t="n"/>
      <c r="F348" s="81" t="n"/>
      <c r="G348" s="81" t="n"/>
      <c r="H348" s="81" t="n"/>
      <c r="I348" s="81" t="n"/>
      <c r="J348" s="81" t="n"/>
      <c r="K348" s="81" t="n"/>
      <c r="L348" s="113" t="n"/>
      <c r="M348" s="81" t="n"/>
      <c r="N348" s="81" t="n"/>
      <c r="O348" s="81" t="n"/>
      <c r="P348" s="81" t="n"/>
      <c r="Q348" s="113" t="n"/>
      <c r="R348" s="113" t="n"/>
      <c r="S348" s="113" t="n"/>
      <c r="T348" s="81" t="n"/>
      <c r="U348" s="81" t="n"/>
      <c r="V348" s="113" t="n"/>
      <c r="W348" s="81" t="n"/>
      <c r="X348" s="81" t="n"/>
      <c r="Y348" s="81" t="n"/>
      <c r="Z348" s="81" t="n"/>
      <c r="AA348" s="81" t="n"/>
      <c r="AB348" s="81" t="n"/>
      <c r="AC348" s="81" t="n"/>
      <c r="AD348" s="81" t="n"/>
      <c r="AE348" s="81" t="n"/>
      <c r="AF348" s="81" t="n"/>
      <c r="AG348" s="81" t="n"/>
      <c r="AH348" s="113" t="n"/>
      <c r="AI348" s="81" t="n"/>
      <c r="AJ348" s="81" t="n"/>
      <c r="AK348" s="113" t="n"/>
      <c r="AL348" s="81" t="n"/>
      <c r="AM348" s="81" t="n"/>
      <c r="AN348" s="81" t="n"/>
      <c r="AO348" s="113" t="n"/>
      <c r="AP348" s="113" t="n"/>
      <c r="AQ348" s="81" t="n"/>
      <c r="AR348" s="113" t="n"/>
      <c r="AS348" s="113" t="n"/>
      <c r="AT348" s="114" t="n"/>
      <c r="AU348" s="81" t="n"/>
      <c r="AV348" s="114" t="n"/>
      <c r="AW348" s="114" t="n"/>
      <c r="AX348" s="81" t="n"/>
      <c r="AY348" s="113" t="n"/>
      <c r="AZ348" s="115">
        <f>IF($B348="","",COUNTIF(References!$A$4:$A$503,$A348))</f>
        <v/>
      </c>
      <c r="BA348" s="115">
        <f>IF($B348="","",(LEN(A348)=0)+(LEN(B348)=0)+(LEN(D348)=0)+(LEN(G348)=0)+(LEN(H348)=0)+(LEN(I348)=0)+(LEN(J348)=0)+(LEN(L348)=0)+(LEN(M348)=0)+(LEN(O348)=0)+(LEN(R348)=0)+(LEN(X348)=0)+(LEN(AI348)=0)+(LEN(AJ348)=0)+(LEN(AQ348)=0)+(LEN(AR348)=0)+(LEN(AT348)=0)+(LEN(AU348)=0)+(LEN(AV348)=0)+(LEN(AX348)=0))</f>
        <v/>
      </c>
      <c r="BB348" s="115">
        <f>IF($B348="","",IF(AND(BA348=0,AZ348&gt;=1),"Complete","Incomplete"))</f>
        <v/>
      </c>
    </row>
    <row r="349" ht="15" customHeight="1" s="62">
      <c r="A349" s="81" t="n"/>
      <c r="B349" s="113" t="n"/>
      <c r="C349" s="81" t="n"/>
      <c r="D349" s="81" t="n"/>
      <c r="E349" s="81" t="n"/>
      <c r="F349" s="81" t="n"/>
      <c r="G349" s="81" t="n"/>
      <c r="H349" s="81" t="n"/>
      <c r="I349" s="81" t="n"/>
      <c r="J349" s="81" t="n"/>
      <c r="K349" s="81" t="n"/>
      <c r="L349" s="113" t="n"/>
      <c r="M349" s="81" t="n"/>
      <c r="N349" s="81" t="n"/>
      <c r="O349" s="81" t="n"/>
      <c r="P349" s="81" t="n"/>
      <c r="Q349" s="113" t="n"/>
      <c r="R349" s="113" t="n"/>
      <c r="S349" s="113" t="n"/>
      <c r="T349" s="81" t="n"/>
      <c r="U349" s="81" t="n"/>
      <c r="V349" s="113" t="n"/>
      <c r="W349" s="81" t="n"/>
      <c r="X349" s="81" t="n"/>
      <c r="Y349" s="81" t="n"/>
      <c r="Z349" s="81" t="n"/>
      <c r="AA349" s="81" t="n"/>
      <c r="AB349" s="81" t="n"/>
      <c r="AC349" s="81" t="n"/>
      <c r="AD349" s="81" t="n"/>
      <c r="AE349" s="81" t="n"/>
      <c r="AF349" s="81" t="n"/>
      <c r="AG349" s="81" t="n"/>
      <c r="AH349" s="113" t="n"/>
      <c r="AI349" s="81" t="n"/>
      <c r="AJ349" s="81" t="n"/>
      <c r="AK349" s="113" t="n"/>
      <c r="AL349" s="81" t="n"/>
      <c r="AM349" s="81" t="n"/>
      <c r="AN349" s="81" t="n"/>
      <c r="AO349" s="113" t="n"/>
      <c r="AP349" s="113" t="n"/>
      <c r="AQ349" s="81" t="n"/>
      <c r="AR349" s="113" t="n"/>
      <c r="AS349" s="113" t="n"/>
      <c r="AT349" s="114" t="n"/>
      <c r="AU349" s="81" t="n"/>
      <c r="AV349" s="114" t="n"/>
      <c r="AW349" s="114" t="n"/>
      <c r="AX349" s="81" t="n"/>
      <c r="AY349" s="113" t="n"/>
      <c r="AZ349" s="115">
        <f>IF($B349="","",COUNTIF(References!$A$4:$A$503,$A349))</f>
        <v/>
      </c>
      <c r="BA349" s="115">
        <f>IF($B349="","",(LEN(A349)=0)+(LEN(B349)=0)+(LEN(D349)=0)+(LEN(G349)=0)+(LEN(H349)=0)+(LEN(I349)=0)+(LEN(J349)=0)+(LEN(L349)=0)+(LEN(M349)=0)+(LEN(O349)=0)+(LEN(R349)=0)+(LEN(X349)=0)+(LEN(AI349)=0)+(LEN(AJ349)=0)+(LEN(AQ349)=0)+(LEN(AR349)=0)+(LEN(AT349)=0)+(LEN(AU349)=0)+(LEN(AV349)=0)+(LEN(AX349)=0))</f>
        <v/>
      </c>
      <c r="BB349" s="115">
        <f>IF($B349="","",IF(AND(BA349=0,AZ349&gt;=1),"Complete","Incomplete"))</f>
        <v/>
      </c>
    </row>
    <row r="350" ht="15" customHeight="1" s="62">
      <c r="A350" s="81" t="n"/>
      <c r="B350" s="113" t="n"/>
      <c r="C350" s="81" t="n"/>
      <c r="D350" s="81" t="n"/>
      <c r="E350" s="81" t="n"/>
      <c r="F350" s="81" t="n"/>
      <c r="G350" s="81" t="n"/>
      <c r="H350" s="81" t="n"/>
      <c r="I350" s="81" t="n"/>
      <c r="J350" s="81" t="n"/>
      <c r="K350" s="81" t="n"/>
      <c r="L350" s="113" t="n"/>
      <c r="M350" s="81" t="n"/>
      <c r="N350" s="81" t="n"/>
      <c r="O350" s="81" t="n"/>
      <c r="P350" s="81" t="n"/>
      <c r="Q350" s="113" t="n"/>
      <c r="R350" s="113" t="n"/>
      <c r="S350" s="113" t="n"/>
      <c r="T350" s="81" t="n"/>
      <c r="U350" s="81" t="n"/>
      <c r="V350" s="113" t="n"/>
      <c r="W350" s="81" t="n"/>
      <c r="X350" s="81" t="n"/>
      <c r="Y350" s="81" t="n"/>
      <c r="Z350" s="81" t="n"/>
      <c r="AA350" s="81" t="n"/>
      <c r="AB350" s="81" t="n"/>
      <c r="AC350" s="81" t="n"/>
      <c r="AD350" s="81" t="n"/>
      <c r="AE350" s="81" t="n"/>
      <c r="AF350" s="81" t="n"/>
      <c r="AG350" s="81" t="n"/>
      <c r="AH350" s="113" t="n"/>
      <c r="AI350" s="81" t="n"/>
      <c r="AJ350" s="81" t="n"/>
      <c r="AK350" s="113" t="n"/>
      <c r="AL350" s="81" t="n"/>
      <c r="AM350" s="81" t="n"/>
      <c r="AN350" s="81" t="n"/>
      <c r="AO350" s="113" t="n"/>
      <c r="AP350" s="113" t="n"/>
      <c r="AQ350" s="81" t="n"/>
      <c r="AR350" s="113" t="n"/>
      <c r="AS350" s="113" t="n"/>
      <c r="AT350" s="114" t="n"/>
      <c r="AU350" s="81" t="n"/>
      <c r="AV350" s="114" t="n"/>
      <c r="AW350" s="114" t="n"/>
      <c r="AX350" s="81" t="n"/>
      <c r="AY350" s="113" t="n"/>
      <c r="AZ350" s="115">
        <f>IF($B350="","",COUNTIF(References!$A$4:$A$503,$A350))</f>
        <v/>
      </c>
      <c r="BA350" s="115">
        <f>IF($B350="","",(LEN(A350)=0)+(LEN(B350)=0)+(LEN(D350)=0)+(LEN(G350)=0)+(LEN(H350)=0)+(LEN(I350)=0)+(LEN(J350)=0)+(LEN(L350)=0)+(LEN(M350)=0)+(LEN(O350)=0)+(LEN(R350)=0)+(LEN(X350)=0)+(LEN(AI350)=0)+(LEN(AJ350)=0)+(LEN(AQ350)=0)+(LEN(AR350)=0)+(LEN(AT350)=0)+(LEN(AU350)=0)+(LEN(AV350)=0)+(LEN(AX350)=0))</f>
        <v/>
      </c>
      <c r="BB350" s="115">
        <f>IF($B350="","",IF(AND(BA350=0,AZ350&gt;=1),"Complete","Incomplete"))</f>
        <v/>
      </c>
    </row>
    <row r="351" ht="15" customHeight="1" s="62">
      <c r="A351" s="81" t="n"/>
      <c r="B351" s="113" t="n"/>
      <c r="C351" s="81" t="n"/>
      <c r="D351" s="81" t="n"/>
      <c r="E351" s="81" t="n"/>
      <c r="F351" s="81" t="n"/>
      <c r="G351" s="81" t="n"/>
      <c r="H351" s="81" t="n"/>
      <c r="I351" s="81" t="n"/>
      <c r="J351" s="81" t="n"/>
      <c r="K351" s="81" t="n"/>
      <c r="L351" s="113" t="n"/>
      <c r="M351" s="81" t="n"/>
      <c r="N351" s="81" t="n"/>
      <c r="O351" s="81" t="n"/>
      <c r="P351" s="81" t="n"/>
      <c r="Q351" s="113" t="n"/>
      <c r="R351" s="113" t="n"/>
      <c r="S351" s="113" t="n"/>
      <c r="T351" s="81" t="n"/>
      <c r="U351" s="81" t="n"/>
      <c r="V351" s="113" t="n"/>
      <c r="W351" s="81" t="n"/>
      <c r="X351" s="81" t="n"/>
      <c r="Y351" s="81" t="n"/>
      <c r="Z351" s="81" t="n"/>
      <c r="AA351" s="81" t="n"/>
      <c r="AB351" s="81" t="n"/>
      <c r="AC351" s="81" t="n"/>
      <c r="AD351" s="81" t="n"/>
      <c r="AE351" s="81" t="n"/>
      <c r="AF351" s="81" t="n"/>
      <c r="AG351" s="81" t="n"/>
      <c r="AH351" s="113" t="n"/>
      <c r="AI351" s="81" t="n"/>
      <c r="AJ351" s="81" t="n"/>
      <c r="AK351" s="113" t="n"/>
      <c r="AL351" s="81" t="n"/>
      <c r="AM351" s="81" t="n"/>
      <c r="AN351" s="81" t="n"/>
      <c r="AO351" s="113" t="n"/>
      <c r="AP351" s="113" t="n"/>
      <c r="AQ351" s="81" t="n"/>
      <c r="AR351" s="113" t="n"/>
      <c r="AS351" s="113" t="n"/>
      <c r="AT351" s="114" t="n"/>
      <c r="AU351" s="81" t="n"/>
      <c r="AV351" s="114" t="n"/>
      <c r="AW351" s="114" t="n"/>
      <c r="AX351" s="81" t="n"/>
      <c r="AY351" s="113" t="n"/>
      <c r="AZ351" s="115">
        <f>IF($B351="","",COUNTIF(References!$A$4:$A$503,$A351))</f>
        <v/>
      </c>
      <c r="BA351" s="115">
        <f>IF($B351="","",(LEN(A351)=0)+(LEN(B351)=0)+(LEN(D351)=0)+(LEN(G351)=0)+(LEN(H351)=0)+(LEN(I351)=0)+(LEN(J351)=0)+(LEN(L351)=0)+(LEN(M351)=0)+(LEN(O351)=0)+(LEN(R351)=0)+(LEN(X351)=0)+(LEN(AI351)=0)+(LEN(AJ351)=0)+(LEN(AQ351)=0)+(LEN(AR351)=0)+(LEN(AT351)=0)+(LEN(AU351)=0)+(LEN(AV351)=0)+(LEN(AX351)=0))</f>
        <v/>
      </c>
      <c r="BB351" s="115">
        <f>IF($B351="","",IF(AND(BA351=0,AZ351&gt;=1),"Complete","Incomplete"))</f>
        <v/>
      </c>
    </row>
    <row r="352" ht="15" customHeight="1" s="62">
      <c r="A352" s="81" t="n"/>
      <c r="B352" s="113" t="n"/>
      <c r="C352" s="81" t="n"/>
      <c r="D352" s="81" t="n"/>
      <c r="E352" s="81" t="n"/>
      <c r="F352" s="81" t="n"/>
      <c r="G352" s="81" t="n"/>
      <c r="H352" s="81" t="n"/>
      <c r="I352" s="81" t="n"/>
      <c r="J352" s="81" t="n"/>
      <c r="K352" s="81" t="n"/>
      <c r="L352" s="113" t="n"/>
      <c r="M352" s="81" t="n"/>
      <c r="N352" s="81" t="n"/>
      <c r="O352" s="81" t="n"/>
      <c r="P352" s="81" t="n"/>
      <c r="Q352" s="113" t="n"/>
      <c r="R352" s="113" t="n"/>
      <c r="S352" s="113" t="n"/>
      <c r="T352" s="81" t="n"/>
      <c r="U352" s="81" t="n"/>
      <c r="V352" s="113" t="n"/>
      <c r="W352" s="81" t="n"/>
      <c r="X352" s="81" t="n"/>
      <c r="Y352" s="81" t="n"/>
      <c r="Z352" s="81" t="n"/>
      <c r="AA352" s="81" t="n"/>
      <c r="AB352" s="81" t="n"/>
      <c r="AC352" s="81" t="n"/>
      <c r="AD352" s="81" t="n"/>
      <c r="AE352" s="81" t="n"/>
      <c r="AF352" s="81" t="n"/>
      <c r="AG352" s="81" t="n"/>
      <c r="AH352" s="113" t="n"/>
      <c r="AI352" s="81" t="n"/>
      <c r="AJ352" s="81" t="n"/>
      <c r="AK352" s="113" t="n"/>
      <c r="AL352" s="81" t="n"/>
      <c r="AM352" s="81" t="n"/>
      <c r="AN352" s="81" t="n"/>
      <c r="AO352" s="113" t="n"/>
      <c r="AP352" s="113" t="n"/>
      <c r="AQ352" s="81" t="n"/>
      <c r="AR352" s="113" t="n"/>
      <c r="AS352" s="113" t="n"/>
      <c r="AT352" s="114" t="n"/>
      <c r="AU352" s="81" t="n"/>
      <c r="AV352" s="114" t="n"/>
      <c r="AW352" s="114" t="n"/>
      <c r="AX352" s="81" t="n"/>
      <c r="AY352" s="113" t="n"/>
      <c r="AZ352" s="115">
        <f>IF($B352="","",COUNTIF(References!$A$4:$A$503,$A352))</f>
        <v/>
      </c>
      <c r="BA352" s="115">
        <f>IF($B352="","",(LEN(A352)=0)+(LEN(B352)=0)+(LEN(D352)=0)+(LEN(G352)=0)+(LEN(H352)=0)+(LEN(I352)=0)+(LEN(J352)=0)+(LEN(L352)=0)+(LEN(M352)=0)+(LEN(O352)=0)+(LEN(R352)=0)+(LEN(X352)=0)+(LEN(AI352)=0)+(LEN(AJ352)=0)+(LEN(AQ352)=0)+(LEN(AR352)=0)+(LEN(AT352)=0)+(LEN(AU352)=0)+(LEN(AV352)=0)+(LEN(AX352)=0))</f>
        <v/>
      </c>
      <c r="BB352" s="115">
        <f>IF($B352="","",IF(AND(BA352=0,AZ352&gt;=1),"Complete","Incomplete"))</f>
        <v/>
      </c>
    </row>
    <row r="353" ht="15" customHeight="1" s="62">
      <c r="A353" s="81" t="n"/>
      <c r="B353" s="113" t="n"/>
      <c r="C353" s="81" t="n"/>
      <c r="D353" s="81" t="n"/>
      <c r="E353" s="81" t="n"/>
      <c r="F353" s="81" t="n"/>
      <c r="G353" s="81" t="n"/>
      <c r="H353" s="81" t="n"/>
      <c r="I353" s="81" t="n"/>
      <c r="J353" s="81" t="n"/>
      <c r="K353" s="81" t="n"/>
      <c r="L353" s="113" t="n"/>
      <c r="M353" s="81" t="n"/>
      <c r="N353" s="81" t="n"/>
      <c r="O353" s="81" t="n"/>
      <c r="P353" s="81" t="n"/>
      <c r="Q353" s="113" t="n"/>
      <c r="R353" s="113" t="n"/>
      <c r="S353" s="113" t="n"/>
      <c r="T353" s="81" t="n"/>
      <c r="U353" s="81" t="n"/>
      <c r="V353" s="113" t="n"/>
      <c r="W353" s="81" t="n"/>
      <c r="X353" s="81" t="n"/>
      <c r="Y353" s="81" t="n"/>
      <c r="Z353" s="81" t="n"/>
      <c r="AA353" s="81" t="n"/>
      <c r="AB353" s="81" t="n"/>
      <c r="AC353" s="81" t="n"/>
      <c r="AD353" s="81" t="n"/>
      <c r="AE353" s="81" t="n"/>
      <c r="AF353" s="81" t="n"/>
      <c r="AG353" s="81" t="n"/>
      <c r="AH353" s="113" t="n"/>
      <c r="AI353" s="81" t="n"/>
      <c r="AJ353" s="81" t="n"/>
      <c r="AK353" s="113" t="n"/>
      <c r="AL353" s="81" t="n"/>
      <c r="AM353" s="81" t="n"/>
      <c r="AN353" s="81" t="n"/>
      <c r="AO353" s="113" t="n"/>
      <c r="AP353" s="113" t="n"/>
      <c r="AQ353" s="81" t="n"/>
      <c r="AR353" s="113" t="n"/>
      <c r="AS353" s="113" t="n"/>
      <c r="AT353" s="114" t="n"/>
      <c r="AU353" s="81" t="n"/>
      <c r="AV353" s="114" t="n"/>
      <c r="AW353" s="114" t="n"/>
      <c r="AX353" s="81" t="n"/>
      <c r="AY353" s="113" t="n"/>
      <c r="AZ353" s="115">
        <f>IF($B353="","",COUNTIF(References!$A$4:$A$503,$A353))</f>
        <v/>
      </c>
      <c r="BA353" s="115">
        <f>IF($B353="","",(LEN(A353)=0)+(LEN(B353)=0)+(LEN(D353)=0)+(LEN(G353)=0)+(LEN(H353)=0)+(LEN(I353)=0)+(LEN(J353)=0)+(LEN(L353)=0)+(LEN(M353)=0)+(LEN(O353)=0)+(LEN(R353)=0)+(LEN(X353)=0)+(LEN(AI353)=0)+(LEN(AJ353)=0)+(LEN(AQ353)=0)+(LEN(AR353)=0)+(LEN(AT353)=0)+(LEN(AU353)=0)+(LEN(AV353)=0)+(LEN(AX353)=0))</f>
        <v/>
      </c>
      <c r="BB353" s="115">
        <f>IF($B353="","",IF(AND(BA353=0,AZ353&gt;=1),"Complete","Incomplete"))</f>
        <v/>
      </c>
    </row>
    <row r="354" ht="15" customHeight="1" s="62">
      <c r="A354" s="81" t="n"/>
      <c r="B354" s="113" t="n"/>
      <c r="C354" s="81" t="n"/>
      <c r="D354" s="81" t="n"/>
      <c r="E354" s="81" t="n"/>
      <c r="F354" s="81" t="n"/>
      <c r="G354" s="81" t="n"/>
      <c r="H354" s="81" t="n"/>
      <c r="I354" s="81" t="n"/>
      <c r="J354" s="81" t="n"/>
      <c r="K354" s="81" t="n"/>
      <c r="L354" s="113" t="n"/>
      <c r="M354" s="81" t="n"/>
      <c r="N354" s="81" t="n"/>
      <c r="O354" s="81" t="n"/>
      <c r="P354" s="81" t="n"/>
      <c r="Q354" s="113" t="n"/>
      <c r="R354" s="113" t="n"/>
      <c r="S354" s="113" t="n"/>
      <c r="T354" s="81" t="n"/>
      <c r="U354" s="81" t="n"/>
      <c r="V354" s="113" t="n"/>
      <c r="W354" s="81" t="n"/>
      <c r="X354" s="81" t="n"/>
      <c r="Y354" s="81" t="n"/>
      <c r="Z354" s="81" t="n"/>
      <c r="AA354" s="81" t="n"/>
      <c r="AB354" s="81" t="n"/>
      <c r="AC354" s="81" t="n"/>
      <c r="AD354" s="81" t="n"/>
      <c r="AE354" s="81" t="n"/>
      <c r="AF354" s="81" t="n"/>
      <c r="AG354" s="81" t="n"/>
      <c r="AH354" s="113" t="n"/>
      <c r="AI354" s="81" t="n"/>
      <c r="AJ354" s="81" t="n"/>
      <c r="AK354" s="113" t="n"/>
      <c r="AL354" s="81" t="n"/>
      <c r="AM354" s="81" t="n"/>
      <c r="AN354" s="81" t="n"/>
      <c r="AO354" s="113" t="n"/>
      <c r="AP354" s="113" t="n"/>
      <c r="AQ354" s="81" t="n"/>
      <c r="AR354" s="113" t="n"/>
      <c r="AS354" s="113" t="n"/>
      <c r="AT354" s="114" t="n"/>
      <c r="AU354" s="81" t="n"/>
      <c r="AV354" s="114" t="n"/>
      <c r="AW354" s="114" t="n"/>
      <c r="AX354" s="81" t="n"/>
      <c r="AY354" s="113" t="n"/>
      <c r="AZ354" s="115">
        <f>IF($B354="","",COUNTIF(References!$A$4:$A$503,$A354))</f>
        <v/>
      </c>
      <c r="BA354" s="115">
        <f>IF($B354="","",(LEN(A354)=0)+(LEN(B354)=0)+(LEN(D354)=0)+(LEN(G354)=0)+(LEN(H354)=0)+(LEN(I354)=0)+(LEN(J354)=0)+(LEN(L354)=0)+(LEN(M354)=0)+(LEN(O354)=0)+(LEN(R354)=0)+(LEN(X354)=0)+(LEN(AI354)=0)+(LEN(AJ354)=0)+(LEN(AQ354)=0)+(LEN(AR354)=0)+(LEN(AT354)=0)+(LEN(AU354)=0)+(LEN(AV354)=0)+(LEN(AX354)=0))</f>
        <v/>
      </c>
      <c r="BB354" s="115">
        <f>IF($B354="","",IF(AND(BA354=0,AZ354&gt;=1),"Complete","Incomplete"))</f>
        <v/>
      </c>
    </row>
    <row r="355" ht="15" customHeight="1" s="62">
      <c r="A355" s="81" t="n"/>
      <c r="B355" s="113" t="n"/>
      <c r="C355" s="81" t="n"/>
      <c r="D355" s="81" t="n"/>
      <c r="E355" s="81" t="n"/>
      <c r="F355" s="81" t="n"/>
      <c r="G355" s="81" t="n"/>
      <c r="H355" s="81" t="n"/>
      <c r="I355" s="81" t="n"/>
      <c r="J355" s="81" t="n"/>
      <c r="K355" s="81" t="n"/>
      <c r="L355" s="113" t="n"/>
      <c r="M355" s="81" t="n"/>
      <c r="N355" s="81" t="n"/>
      <c r="O355" s="81" t="n"/>
      <c r="P355" s="81" t="n"/>
      <c r="Q355" s="113" t="n"/>
      <c r="R355" s="113" t="n"/>
      <c r="S355" s="113" t="n"/>
      <c r="T355" s="81" t="n"/>
      <c r="U355" s="81" t="n"/>
      <c r="V355" s="113" t="n"/>
      <c r="W355" s="81" t="n"/>
      <c r="X355" s="81" t="n"/>
      <c r="Y355" s="81" t="n"/>
      <c r="Z355" s="81" t="n"/>
      <c r="AA355" s="81" t="n"/>
      <c r="AB355" s="81" t="n"/>
      <c r="AC355" s="81" t="n"/>
      <c r="AD355" s="81" t="n"/>
      <c r="AE355" s="81" t="n"/>
      <c r="AF355" s="81" t="n"/>
      <c r="AG355" s="81" t="n"/>
      <c r="AH355" s="113" t="n"/>
      <c r="AI355" s="81" t="n"/>
      <c r="AJ355" s="81" t="n"/>
      <c r="AK355" s="113" t="n"/>
      <c r="AL355" s="81" t="n"/>
      <c r="AM355" s="81" t="n"/>
      <c r="AN355" s="81" t="n"/>
      <c r="AO355" s="113" t="n"/>
      <c r="AP355" s="113" t="n"/>
      <c r="AQ355" s="81" t="n"/>
      <c r="AR355" s="113" t="n"/>
      <c r="AS355" s="113" t="n"/>
      <c r="AT355" s="114" t="n"/>
      <c r="AU355" s="81" t="n"/>
      <c r="AV355" s="114" t="n"/>
      <c r="AW355" s="114" t="n"/>
      <c r="AX355" s="81" t="n"/>
      <c r="AY355" s="113" t="n"/>
      <c r="AZ355" s="115">
        <f>IF($B355="","",COUNTIF(References!$A$4:$A$503,$A355))</f>
        <v/>
      </c>
      <c r="BA355" s="115">
        <f>IF($B355="","",(LEN(A355)=0)+(LEN(B355)=0)+(LEN(D355)=0)+(LEN(G355)=0)+(LEN(H355)=0)+(LEN(I355)=0)+(LEN(J355)=0)+(LEN(L355)=0)+(LEN(M355)=0)+(LEN(O355)=0)+(LEN(R355)=0)+(LEN(X355)=0)+(LEN(AI355)=0)+(LEN(AJ355)=0)+(LEN(AQ355)=0)+(LEN(AR355)=0)+(LEN(AT355)=0)+(LEN(AU355)=0)+(LEN(AV355)=0)+(LEN(AX355)=0))</f>
        <v/>
      </c>
      <c r="BB355" s="115">
        <f>IF($B355="","",IF(AND(BA355=0,AZ355&gt;=1),"Complete","Incomplete"))</f>
        <v/>
      </c>
    </row>
    <row r="356" ht="15" customHeight="1" s="62">
      <c r="A356" s="81" t="n"/>
      <c r="B356" s="113" t="n"/>
      <c r="C356" s="81" t="n"/>
      <c r="D356" s="81" t="n"/>
      <c r="E356" s="81" t="n"/>
      <c r="F356" s="81" t="n"/>
      <c r="G356" s="81" t="n"/>
      <c r="H356" s="81" t="n"/>
      <c r="I356" s="81" t="n"/>
      <c r="J356" s="81" t="n"/>
      <c r="K356" s="81" t="n"/>
      <c r="L356" s="113" t="n"/>
      <c r="M356" s="81" t="n"/>
      <c r="N356" s="81" t="n"/>
      <c r="O356" s="81" t="n"/>
      <c r="P356" s="81" t="n"/>
      <c r="Q356" s="113" t="n"/>
      <c r="R356" s="113" t="n"/>
      <c r="S356" s="113" t="n"/>
      <c r="T356" s="81" t="n"/>
      <c r="U356" s="81" t="n"/>
      <c r="V356" s="113" t="n"/>
      <c r="W356" s="81" t="n"/>
      <c r="X356" s="81" t="n"/>
      <c r="Y356" s="81" t="n"/>
      <c r="Z356" s="81" t="n"/>
      <c r="AA356" s="81" t="n"/>
      <c r="AB356" s="81" t="n"/>
      <c r="AC356" s="81" t="n"/>
      <c r="AD356" s="81" t="n"/>
      <c r="AE356" s="81" t="n"/>
      <c r="AF356" s="81" t="n"/>
      <c r="AG356" s="81" t="n"/>
      <c r="AH356" s="113" t="n"/>
      <c r="AI356" s="81" t="n"/>
      <c r="AJ356" s="81" t="n"/>
      <c r="AK356" s="113" t="n"/>
      <c r="AL356" s="81" t="n"/>
      <c r="AM356" s="81" t="n"/>
      <c r="AN356" s="81" t="n"/>
      <c r="AO356" s="113" t="n"/>
      <c r="AP356" s="113" t="n"/>
      <c r="AQ356" s="81" t="n"/>
      <c r="AR356" s="113" t="n"/>
      <c r="AS356" s="113" t="n"/>
      <c r="AT356" s="114" t="n"/>
      <c r="AU356" s="81" t="n"/>
      <c r="AV356" s="114" t="n"/>
      <c r="AW356" s="114" t="n"/>
      <c r="AX356" s="81" t="n"/>
      <c r="AY356" s="113" t="n"/>
      <c r="AZ356" s="115">
        <f>IF($B356="","",COUNTIF(References!$A$4:$A$503,$A356))</f>
        <v/>
      </c>
      <c r="BA356" s="115">
        <f>IF($B356="","",(LEN(A356)=0)+(LEN(B356)=0)+(LEN(D356)=0)+(LEN(G356)=0)+(LEN(H356)=0)+(LEN(I356)=0)+(LEN(J356)=0)+(LEN(L356)=0)+(LEN(M356)=0)+(LEN(O356)=0)+(LEN(R356)=0)+(LEN(X356)=0)+(LEN(AI356)=0)+(LEN(AJ356)=0)+(LEN(AQ356)=0)+(LEN(AR356)=0)+(LEN(AT356)=0)+(LEN(AU356)=0)+(LEN(AV356)=0)+(LEN(AX356)=0))</f>
        <v/>
      </c>
      <c r="BB356" s="115">
        <f>IF($B356="","",IF(AND(BA356=0,AZ356&gt;=1),"Complete","Incomplete"))</f>
        <v/>
      </c>
    </row>
    <row r="357" ht="15" customHeight="1" s="62">
      <c r="A357" s="81" t="n"/>
      <c r="B357" s="113" t="n"/>
      <c r="C357" s="81" t="n"/>
      <c r="D357" s="81" t="n"/>
      <c r="E357" s="81" t="n"/>
      <c r="F357" s="81" t="n"/>
      <c r="G357" s="81" t="n"/>
      <c r="H357" s="81" t="n"/>
      <c r="I357" s="81" t="n"/>
      <c r="J357" s="81" t="n"/>
      <c r="K357" s="81" t="n"/>
      <c r="L357" s="113" t="n"/>
      <c r="M357" s="81" t="n"/>
      <c r="N357" s="81" t="n"/>
      <c r="O357" s="81" t="n"/>
      <c r="P357" s="81" t="n"/>
      <c r="Q357" s="113" t="n"/>
      <c r="R357" s="113" t="n"/>
      <c r="S357" s="113" t="n"/>
      <c r="T357" s="81" t="n"/>
      <c r="U357" s="81" t="n"/>
      <c r="V357" s="113" t="n"/>
      <c r="W357" s="81" t="n"/>
      <c r="X357" s="81" t="n"/>
      <c r="Y357" s="81" t="n"/>
      <c r="Z357" s="81" t="n"/>
      <c r="AA357" s="81" t="n"/>
      <c r="AB357" s="81" t="n"/>
      <c r="AC357" s="81" t="n"/>
      <c r="AD357" s="81" t="n"/>
      <c r="AE357" s="81" t="n"/>
      <c r="AF357" s="81" t="n"/>
      <c r="AG357" s="81" t="n"/>
      <c r="AH357" s="113" t="n"/>
      <c r="AI357" s="81" t="n"/>
      <c r="AJ357" s="81" t="n"/>
      <c r="AK357" s="113" t="n"/>
      <c r="AL357" s="81" t="n"/>
      <c r="AM357" s="81" t="n"/>
      <c r="AN357" s="81" t="n"/>
      <c r="AO357" s="113" t="n"/>
      <c r="AP357" s="113" t="n"/>
      <c r="AQ357" s="81" t="n"/>
      <c r="AR357" s="113" t="n"/>
      <c r="AS357" s="113" t="n"/>
      <c r="AT357" s="114" t="n"/>
      <c r="AU357" s="81" t="n"/>
      <c r="AV357" s="114" t="n"/>
      <c r="AW357" s="114" t="n"/>
      <c r="AX357" s="81" t="n"/>
      <c r="AY357" s="113" t="n"/>
      <c r="AZ357" s="115">
        <f>IF($B357="","",COUNTIF(References!$A$4:$A$503,$A357))</f>
        <v/>
      </c>
      <c r="BA357" s="115">
        <f>IF($B357="","",(LEN(A357)=0)+(LEN(B357)=0)+(LEN(D357)=0)+(LEN(G357)=0)+(LEN(H357)=0)+(LEN(I357)=0)+(LEN(J357)=0)+(LEN(L357)=0)+(LEN(M357)=0)+(LEN(O357)=0)+(LEN(R357)=0)+(LEN(X357)=0)+(LEN(AI357)=0)+(LEN(AJ357)=0)+(LEN(AQ357)=0)+(LEN(AR357)=0)+(LEN(AT357)=0)+(LEN(AU357)=0)+(LEN(AV357)=0)+(LEN(AX357)=0))</f>
        <v/>
      </c>
      <c r="BB357" s="115">
        <f>IF($B357="","",IF(AND(BA357=0,AZ357&gt;=1),"Complete","Incomplete"))</f>
        <v/>
      </c>
    </row>
    <row r="358" ht="15" customHeight="1" s="62">
      <c r="A358" s="81" t="n"/>
      <c r="B358" s="113" t="n"/>
      <c r="C358" s="81" t="n"/>
      <c r="D358" s="81" t="n"/>
      <c r="E358" s="81" t="n"/>
      <c r="F358" s="81" t="n"/>
      <c r="G358" s="81" t="n"/>
      <c r="H358" s="81" t="n"/>
      <c r="I358" s="81" t="n"/>
      <c r="J358" s="81" t="n"/>
      <c r="K358" s="81" t="n"/>
      <c r="L358" s="113" t="n"/>
      <c r="M358" s="81" t="n"/>
      <c r="N358" s="81" t="n"/>
      <c r="O358" s="81" t="n"/>
      <c r="P358" s="81" t="n"/>
      <c r="Q358" s="113" t="n"/>
      <c r="R358" s="113" t="n"/>
      <c r="S358" s="113" t="n"/>
      <c r="T358" s="81" t="n"/>
      <c r="U358" s="81" t="n"/>
      <c r="V358" s="113" t="n"/>
      <c r="W358" s="81" t="n"/>
      <c r="X358" s="81" t="n"/>
      <c r="Y358" s="81" t="n"/>
      <c r="Z358" s="81" t="n"/>
      <c r="AA358" s="81" t="n"/>
      <c r="AB358" s="81" t="n"/>
      <c r="AC358" s="81" t="n"/>
      <c r="AD358" s="81" t="n"/>
      <c r="AE358" s="81" t="n"/>
      <c r="AF358" s="81" t="n"/>
      <c r="AG358" s="81" t="n"/>
      <c r="AH358" s="113" t="n"/>
      <c r="AI358" s="81" t="n"/>
      <c r="AJ358" s="81" t="n"/>
      <c r="AK358" s="113" t="n"/>
      <c r="AL358" s="81" t="n"/>
      <c r="AM358" s="81" t="n"/>
      <c r="AN358" s="81" t="n"/>
      <c r="AO358" s="113" t="n"/>
      <c r="AP358" s="113" t="n"/>
      <c r="AQ358" s="81" t="n"/>
      <c r="AR358" s="113" t="n"/>
      <c r="AS358" s="113" t="n"/>
      <c r="AT358" s="114" t="n"/>
      <c r="AU358" s="81" t="n"/>
      <c r="AV358" s="114" t="n"/>
      <c r="AW358" s="114" t="n"/>
      <c r="AX358" s="81" t="n"/>
      <c r="AY358" s="113" t="n"/>
      <c r="AZ358" s="115">
        <f>IF($B358="","",COUNTIF(References!$A$4:$A$503,$A358))</f>
        <v/>
      </c>
      <c r="BA358" s="115">
        <f>IF($B358="","",(LEN(A358)=0)+(LEN(B358)=0)+(LEN(D358)=0)+(LEN(G358)=0)+(LEN(H358)=0)+(LEN(I358)=0)+(LEN(J358)=0)+(LEN(L358)=0)+(LEN(M358)=0)+(LEN(O358)=0)+(LEN(R358)=0)+(LEN(X358)=0)+(LEN(AI358)=0)+(LEN(AJ358)=0)+(LEN(AQ358)=0)+(LEN(AR358)=0)+(LEN(AT358)=0)+(LEN(AU358)=0)+(LEN(AV358)=0)+(LEN(AX358)=0))</f>
        <v/>
      </c>
      <c r="BB358" s="115">
        <f>IF($B358="","",IF(AND(BA358=0,AZ358&gt;=1),"Complete","Incomplete"))</f>
        <v/>
      </c>
    </row>
    <row r="359" ht="15" customHeight="1" s="62">
      <c r="A359" s="81" t="n"/>
      <c r="B359" s="113" t="n"/>
      <c r="C359" s="81" t="n"/>
      <c r="D359" s="81" t="n"/>
      <c r="E359" s="81" t="n"/>
      <c r="F359" s="81" t="n"/>
      <c r="G359" s="81" t="n"/>
      <c r="H359" s="81" t="n"/>
      <c r="I359" s="81" t="n"/>
      <c r="J359" s="81" t="n"/>
      <c r="K359" s="81" t="n"/>
      <c r="L359" s="113" t="n"/>
      <c r="M359" s="81" t="n"/>
      <c r="N359" s="81" t="n"/>
      <c r="O359" s="81" t="n"/>
      <c r="P359" s="81" t="n"/>
      <c r="Q359" s="113" t="n"/>
      <c r="R359" s="113" t="n"/>
      <c r="S359" s="113" t="n"/>
      <c r="T359" s="81" t="n"/>
      <c r="U359" s="81" t="n"/>
      <c r="V359" s="113" t="n"/>
      <c r="W359" s="81" t="n"/>
      <c r="X359" s="81" t="n"/>
      <c r="Y359" s="81" t="n"/>
      <c r="Z359" s="81" t="n"/>
      <c r="AA359" s="81" t="n"/>
      <c r="AB359" s="81" t="n"/>
      <c r="AC359" s="81" t="n"/>
      <c r="AD359" s="81" t="n"/>
      <c r="AE359" s="81" t="n"/>
      <c r="AF359" s="81" t="n"/>
      <c r="AG359" s="81" t="n"/>
      <c r="AH359" s="113" t="n"/>
      <c r="AI359" s="81" t="n"/>
      <c r="AJ359" s="81" t="n"/>
      <c r="AK359" s="113" t="n"/>
      <c r="AL359" s="81" t="n"/>
      <c r="AM359" s="81" t="n"/>
      <c r="AN359" s="81" t="n"/>
      <c r="AO359" s="113" t="n"/>
      <c r="AP359" s="113" t="n"/>
      <c r="AQ359" s="81" t="n"/>
      <c r="AR359" s="113" t="n"/>
      <c r="AS359" s="113" t="n"/>
      <c r="AT359" s="114" t="n"/>
      <c r="AU359" s="81" t="n"/>
      <c r="AV359" s="114" t="n"/>
      <c r="AW359" s="114" t="n"/>
      <c r="AX359" s="81" t="n"/>
      <c r="AY359" s="113" t="n"/>
      <c r="AZ359" s="115">
        <f>IF($B359="","",COUNTIF(References!$A$4:$A$503,$A359))</f>
        <v/>
      </c>
      <c r="BA359" s="115">
        <f>IF($B359="","",(LEN(A359)=0)+(LEN(B359)=0)+(LEN(D359)=0)+(LEN(G359)=0)+(LEN(H359)=0)+(LEN(I359)=0)+(LEN(J359)=0)+(LEN(L359)=0)+(LEN(M359)=0)+(LEN(O359)=0)+(LEN(R359)=0)+(LEN(X359)=0)+(LEN(AI359)=0)+(LEN(AJ359)=0)+(LEN(AQ359)=0)+(LEN(AR359)=0)+(LEN(AT359)=0)+(LEN(AU359)=0)+(LEN(AV359)=0)+(LEN(AX359)=0))</f>
        <v/>
      </c>
      <c r="BB359" s="115">
        <f>IF($B359="","",IF(AND(BA359=0,AZ359&gt;=1),"Complete","Incomplete"))</f>
        <v/>
      </c>
    </row>
    <row r="360" ht="15" customHeight="1" s="62">
      <c r="A360" s="81" t="n"/>
      <c r="B360" s="113" t="n"/>
      <c r="C360" s="81" t="n"/>
      <c r="D360" s="81" t="n"/>
      <c r="E360" s="81" t="n"/>
      <c r="F360" s="81" t="n"/>
      <c r="G360" s="81" t="n"/>
      <c r="H360" s="81" t="n"/>
      <c r="I360" s="81" t="n"/>
      <c r="J360" s="81" t="n"/>
      <c r="K360" s="81" t="n"/>
      <c r="L360" s="113" t="n"/>
      <c r="M360" s="81" t="n"/>
      <c r="N360" s="81" t="n"/>
      <c r="O360" s="81" t="n"/>
      <c r="P360" s="81" t="n"/>
      <c r="Q360" s="113" t="n"/>
      <c r="R360" s="113" t="n"/>
      <c r="S360" s="113" t="n"/>
      <c r="T360" s="81" t="n"/>
      <c r="U360" s="81" t="n"/>
      <c r="V360" s="113" t="n"/>
      <c r="W360" s="81" t="n"/>
      <c r="X360" s="81" t="n"/>
      <c r="Y360" s="81" t="n"/>
      <c r="Z360" s="81" t="n"/>
      <c r="AA360" s="81" t="n"/>
      <c r="AB360" s="81" t="n"/>
      <c r="AC360" s="81" t="n"/>
      <c r="AD360" s="81" t="n"/>
      <c r="AE360" s="81" t="n"/>
      <c r="AF360" s="81" t="n"/>
      <c r="AG360" s="81" t="n"/>
      <c r="AH360" s="113" t="n"/>
      <c r="AI360" s="81" t="n"/>
      <c r="AJ360" s="81" t="n"/>
      <c r="AK360" s="113" t="n"/>
      <c r="AL360" s="81" t="n"/>
      <c r="AM360" s="81" t="n"/>
      <c r="AN360" s="81" t="n"/>
      <c r="AO360" s="113" t="n"/>
      <c r="AP360" s="113" t="n"/>
      <c r="AQ360" s="81" t="n"/>
      <c r="AR360" s="113" t="n"/>
      <c r="AS360" s="113" t="n"/>
      <c r="AT360" s="114" t="n"/>
      <c r="AU360" s="81" t="n"/>
      <c r="AV360" s="114" t="n"/>
      <c r="AW360" s="114" t="n"/>
      <c r="AX360" s="81" t="n"/>
      <c r="AY360" s="113" t="n"/>
      <c r="AZ360" s="115">
        <f>IF($B360="","",COUNTIF(References!$A$4:$A$503,$A360))</f>
        <v/>
      </c>
      <c r="BA360" s="115">
        <f>IF($B360="","",(LEN(A360)=0)+(LEN(B360)=0)+(LEN(D360)=0)+(LEN(G360)=0)+(LEN(H360)=0)+(LEN(I360)=0)+(LEN(J360)=0)+(LEN(L360)=0)+(LEN(M360)=0)+(LEN(O360)=0)+(LEN(R360)=0)+(LEN(X360)=0)+(LEN(AI360)=0)+(LEN(AJ360)=0)+(LEN(AQ360)=0)+(LEN(AR360)=0)+(LEN(AT360)=0)+(LEN(AU360)=0)+(LEN(AV360)=0)+(LEN(AX360)=0))</f>
        <v/>
      </c>
      <c r="BB360" s="115">
        <f>IF($B360="","",IF(AND(BA360=0,AZ360&gt;=1),"Complete","Incomplete"))</f>
        <v/>
      </c>
    </row>
    <row r="361" ht="15" customHeight="1" s="62">
      <c r="A361" s="81" t="n"/>
      <c r="B361" s="113" t="n"/>
      <c r="C361" s="81" t="n"/>
      <c r="D361" s="81" t="n"/>
      <c r="E361" s="81" t="n"/>
      <c r="F361" s="81" t="n"/>
      <c r="G361" s="81" t="n"/>
      <c r="H361" s="81" t="n"/>
      <c r="I361" s="81" t="n"/>
      <c r="J361" s="81" t="n"/>
      <c r="K361" s="81" t="n"/>
      <c r="L361" s="113" t="n"/>
      <c r="M361" s="81" t="n"/>
      <c r="N361" s="81" t="n"/>
      <c r="O361" s="81" t="n"/>
      <c r="P361" s="81" t="n"/>
      <c r="Q361" s="113" t="n"/>
      <c r="R361" s="113" t="n"/>
      <c r="S361" s="113" t="n"/>
      <c r="T361" s="81" t="n"/>
      <c r="U361" s="81" t="n"/>
      <c r="V361" s="113" t="n"/>
      <c r="W361" s="81" t="n"/>
      <c r="X361" s="81" t="n"/>
      <c r="Y361" s="81" t="n"/>
      <c r="Z361" s="81" t="n"/>
      <c r="AA361" s="81" t="n"/>
      <c r="AB361" s="81" t="n"/>
      <c r="AC361" s="81" t="n"/>
      <c r="AD361" s="81" t="n"/>
      <c r="AE361" s="81" t="n"/>
      <c r="AF361" s="81" t="n"/>
      <c r="AG361" s="81" t="n"/>
      <c r="AH361" s="113" t="n"/>
      <c r="AI361" s="81" t="n"/>
      <c r="AJ361" s="81" t="n"/>
      <c r="AK361" s="113" t="n"/>
      <c r="AL361" s="81" t="n"/>
      <c r="AM361" s="81" t="n"/>
      <c r="AN361" s="81" t="n"/>
      <c r="AO361" s="113" t="n"/>
      <c r="AP361" s="113" t="n"/>
      <c r="AQ361" s="81" t="n"/>
      <c r="AR361" s="113" t="n"/>
      <c r="AS361" s="113" t="n"/>
      <c r="AT361" s="114" t="n"/>
      <c r="AU361" s="81" t="n"/>
      <c r="AV361" s="114" t="n"/>
      <c r="AW361" s="114" t="n"/>
      <c r="AX361" s="81" t="n"/>
      <c r="AY361" s="113" t="n"/>
      <c r="AZ361" s="115">
        <f>IF($B361="","",COUNTIF(References!$A$4:$A$503,$A361))</f>
        <v/>
      </c>
      <c r="BA361" s="115">
        <f>IF($B361="","",(LEN(A361)=0)+(LEN(B361)=0)+(LEN(D361)=0)+(LEN(G361)=0)+(LEN(H361)=0)+(LEN(I361)=0)+(LEN(J361)=0)+(LEN(L361)=0)+(LEN(M361)=0)+(LEN(O361)=0)+(LEN(R361)=0)+(LEN(X361)=0)+(LEN(AI361)=0)+(LEN(AJ361)=0)+(LEN(AQ361)=0)+(LEN(AR361)=0)+(LEN(AT361)=0)+(LEN(AU361)=0)+(LEN(AV361)=0)+(LEN(AX361)=0))</f>
        <v/>
      </c>
      <c r="BB361" s="115">
        <f>IF($B361="","",IF(AND(BA361=0,AZ361&gt;=1),"Complete","Incomplete"))</f>
        <v/>
      </c>
    </row>
    <row r="362" ht="15" customHeight="1" s="62">
      <c r="A362" s="81" t="n"/>
      <c r="B362" s="113" t="n"/>
      <c r="C362" s="81" t="n"/>
      <c r="D362" s="81" t="n"/>
      <c r="E362" s="81" t="n"/>
      <c r="F362" s="81" t="n"/>
      <c r="G362" s="81" t="n"/>
      <c r="H362" s="81" t="n"/>
      <c r="I362" s="81" t="n"/>
      <c r="J362" s="81" t="n"/>
      <c r="K362" s="81" t="n"/>
      <c r="L362" s="113" t="n"/>
      <c r="M362" s="81" t="n"/>
      <c r="N362" s="81" t="n"/>
      <c r="O362" s="81" t="n"/>
      <c r="P362" s="81" t="n"/>
      <c r="Q362" s="113" t="n"/>
      <c r="R362" s="113" t="n"/>
      <c r="S362" s="113" t="n"/>
      <c r="T362" s="81" t="n"/>
      <c r="U362" s="81" t="n"/>
      <c r="V362" s="113" t="n"/>
      <c r="W362" s="81" t="n"/>
      <c r="X362" s="81" t="n"/>
      <c r="Y362" s="81" t="n"/>
      <c r="Z362" s="81" t="n"/>
      <c r="AA362" s="81" t="n"/>
      <c r="AB362" s="81" t="n"/>
      <c r="AC362" s="81" t="n"/>
      <c r="AD362" s="81" t="n"/>
      <c r="AE362" s="81" t="n"/>
      <c r="AF362" s="81" t="n"/>
      <c r="AG362" s="81" t="n"/>
      <c r="AH362" s="113" t="n"/>
      <c r="AI362" s="81" t="n"/>
      <c r="AJ362" s="81" t="n"/>
      <c r="AK362" s="113" t="n"/>
      <c r="AL362" s="81" t="n"/>
      <c r="AM362" s="81" t="n"/>
      <c r="AN362" s="81" t="n"/>
      <c r="AO362" s="113" t="n"/>
      <c r="AP362" s="113" t="n"/>
      <c r="AQ362" s="81" t="n"/>
      <c r="AR362" s="113" t="n"/>
      <c r="AS362" s="113" t="n"/>
      <c r="AT362" s="114" t="n"/>
      <c r="AU362" s="81" t="n"/>
      <c r="AV362" s="114" t="n"/>
      <c r="AW362" s="114" t="n"/>
      <c r="AX362" s="81" t="n"/>
      <c r="AY362" s="113" t="n"/>
      <c r="AZ362" s="115">
        <f>IF($B362="","",COUNTIF(References!$A$4:$A$503,$A362))</f>
        <v/>
      </c>
      <c r="BA362" s="115">
        <f>IF($B362="","",(LEN(A362)=0)+(LEN(B362)=0)+(LEN(D362)=0)+(LEN(G362)=0)+(LEN(H362)=0)+(LEN(I362)=0)+(LEN(J362)=0)+(LEN(L362)=0)+(LEN(M362)=0)+(LEN(O362)=0)+(LEN(R362)=0)+(LEN(X362)=0)+(LEN(AI362)=0)+(LEN(AJ362)=0)+(LEN(AQ362)=0)+(LEN(AR362)=0)+(LEN(AT362)=0)+(LEN(AU362)=0)+(LEN(AV362)=0)+(LEN(AX362)=0))</f>
        <v/>
      </c>
      <c r="BB362" s="115">
        <f>IF($B362="","",IF(AND(BA362=0,AZ362&gt;=1),"Complete","Incomplete"))</f>
        <v/>
      </c>
    </row>
    <row r="363" ht="15" customHeight="1" s="62">
      <c r="A363" s="81" t="n"/>
      <c r="B363" s="113" t="n"/>
      <c r="C363" s="81" t="n"/>
      <c r="D363" s="81" t="n"/>
      <c r="E363" s="81" t="n"/>
      <c r="F363" s="81" t="n"/>
      <c r="G363" s="81" t="n"/>
      <c r="H363" s="81" t="n"/>
      <c r="I363" s="81" t="n"/>
      <c r="J363" s="81" t="n"/>
      <c r="K363" s="81" t="n"/>
      <c r="L363" s="113" t="n"/>
      <c r="M363" s="81" t="n"/>
      <c r="N363" s="81" t="n"/>
      <c r="O363" s="81" t="n"/>
      <c r="P363" s="81" t="n"/>
      <c r="Q363" s="113" t="n"/>
      <c r="R363" s="113" t="n"/>
      <c r="S363" s="113" t="n"/>
      <c r="T363" s="81" t="n"/>
      <c r="U363" s="81" t="n"/>
      <c r="V363" s="113" t="n"/>
      <c r="W363" s="81" t="n"/>
      <c r="X363" s="81" t="n"/>
      <c r="Y363" s="81" t="n"/>
      <c r="Z363" s="81" t="n"/>
      <c r="AA363" s="81" t="n"/>
      <c r="AB363" s="81" t="n"/>
      <c r="AC363" s="81" t="n"/>
      <c r="AD363" s="81" t="n"/>
      <c r="AE363" s="81" t="n"/>
      <c r="AF363" s="81" t="n"/>
      <c r="AG363" s="81" t="n"/>
      <c r="AH363" s="113" t="n"/>
      <c r="AI363" s="81" t="n"/>
      <c r="AJ363" s="81" t="n"/>
      <c r="AK363" s="113" t="n"/>
      <c r="AL363" s="81" t="n"/>
      <c r="AM363" s="81" t="n"/>
      <c r="AN363" s="81" t="n"/>
      <c r="AO363" s="113" t="n"/>
      <c r="AP363" s="113" t="n"/>
      <c r="AQ363" s="81" t="n"/>
      <c r="AR363" s="113" t="n"/>
      <c r="AS363" s="113" t="n"/>
      <c r="AT363" s="114" t="n"/>
      <c r="AU363" s="81" t="n"/>
      <c r="AV363" s="114" t="n"/>
      <c r="AW363" s="114" t="n"/>
      <c r="AX363" s="81" t="n"/>
      <c r="AY363" s="113" t="n"/>
      <c r="AZ363" s="115">
        <f>IF($B363="","",COUNTIF(References!$A$4:$A$503,$A363))</f>
        <v/>
      </c>
      <c r="BA363" s="115">
        <f>IF($B363="","",(LEN(A363)=0)+(LEN(B363)=0)+(LEN(D363)=0)+(LEN(G363)=0)+(LEN(H363)=0)+(LEN(I363)=0)+(LEN(J363)=0)+(LEN(L363)=0)+(LEN(M363)=0)+(LEN(O363)=0)+(LEN(R363)=0)+(LEN(X363)=0)+(LEN(AI363)=0)+(LEN(AJ363)=0)+(LEN(AQ363)=0)+(LEN(AR363)=0)+(LEN(AT363)=0)+(LEN(AU363)=0)+(LEN(AV363)=0)+(LEN(AX363)=0))</f>
        <v/>
      </c>
      <c r="BB363" s="115">
        <f>IF($B363="","",IF(AND(BA363=0,AZ363&gt;=1),"Complete","Incomplete"))</f>
        <v/>
      </c>
    </row>
    <row r="364" ht="15" customHeight="1" s="62">
      <c r="A364" s="81" t="n"/>
      <c r="B364" s="113" t="n"/>
      <c r="C364" s="81" t="n"/>
      <c r="D364" s="81" t="n"/>
      <c r="E364" s="81" t="n"/>
      <c r="F364" s="81" t="n"/>
      <c r="G364" s="81" t="n"/>
      <c r="H364" s="81" t="n"/>
      <c r="I364" s="81" t="n"/>
      <c r="J364" s="81" t="n"/>
      <c r="K364" s="81" t="n"/>
      <c r="L364" s="113" t="n"/>
      <c r="M364" s="81" t="n"/>
      <c r="N364" s="81" t="n"/>
      <c r="O364" s="81" t="n"/>
      <c r="P364" s="81" t="n"/>
      <c r="Q364" s="113" t="n"/>
      <c r="R364" s="113" t="n"/>
      <c r="S364" s="113" t="n"/>
      <c r="T364" s="81" t="n"/>
      <c r="U364" s="81" t="n"/>
      <c r="V364" s="113" t="n"/>
      <c r="W364" s="81" t="n"/>
      <c r="X364" s="81" t="n"/>
      <c r="Y364" s="81" t="n"/>
      <c r="Z364" s="81" t="n"/>
      <c r="AA364" s="81" t="n"/>
      <c r="AB364" s="81" t="n"/>
      <c r="AC364" s="81" t="n"/>
      <c r="AD364" s="81" t="n"/>
      <c r="AE364" s="81" t="n"/>
      <c r="AF364" s="81" t="n"/>
      <c r="AG364" s="81" t="n"/>
      <c r="AH364" s="113" t="n"/>
      <c r="AI364" s="81" t="n"/>
      <c r="AJ364" s="81" t="n"/>
      <c r="AK364" s="113" t="n"/>
      <c r="AL364" s="81" t="n"/>
      <c r="AM364" s="81" t="n"/>
      <c r="AN364" s="81" t="n"/>
      <c r="AO364" s="113" t="n"/>
      <c r="AP364" s="113" t="n"/>
      <c r="AQ364" s="81" t="n"/>
      <c r="AR364" s="113" t="n"/>
      <c r="AS364" s="113" t="n"/>
      <c r="AT364" s="114" t="n"/>
      <c r="AU364" s="81" t="n"/>
      <c r="AV364" s="114" t="n"/>
      <c r="AW364" s="114" t="n"/>
      <c r="AX364" s="81" t="n"/>
      <c r="AY364" s="113" t="n"/>
      <c r="AZ364" s="115">
        <f>IF($B364="","",COUNTIF(References!$A$4:$A$503,$A364))</f>
        <v/>
      </c>
      <c r="BA364" s="115">
        <f>IF($B364="","",(LEN(A364)=0)+(LEN(B364)=0)+(LEN(D364)=0)+(LEN(G364)=0)+(LEN(H364)=0)+(LEN(I364)=0)+(LEN(J364)=0)+(LEN(L364)=0)+(LEN(M364)=0)+(LEN(O364)=0)+(LEN(R364)=0)+(LEN(X364)=0)+(LEN(AI364)=0)+(LEN(AJ364)=0)+(LEN(AQ364)=0)+(LEN(AR364)=0)+(LEN(AT364)=0)+(LEN(AU364)=0)+(LEN(AV364)=0)+(LEN(AX364)=0))</f>
        <v/>
      </c>
      <c r="BB364" s="115">
        <f>IF($B364="","",IF(AND(BA364=0,AZ364&gt;=1),"Complete","Incomplete"))</f>
        <v/>
      </c>
    </row>
    <row r="365" ht="15" customHeight="1" s="62">
      <c r="A365" s="81" t="n"/>
      <c r="B365" s="113" t="n"/>
      <c r="C365" s="81" t="n"/>
      <c r="D365" s="81" t="n"/>
      <c r="E365" s="81" t="n"/>
      <c r="F365" s="81" t="n"/>
      <c r="G365" s="81" t="n"/>
      <c r="H365" s="81" t="n"/>
      <c r="I365" s="81" t="n"/>
      <c r="J365" s="81" t="n"/>
      <c r="K365" s="81" t="n"/>
      <c r="L365" s="113" t="n"/>
      <c r="M365" s="81" t="n"/>
      <c r="N365" s="81" t="n"/>
      <c r="O365" s="81" t="n"/>
      <c r="P365" s="81" t="n"/>
      <c r="Q365" s="113" t="n"/>
      <c r="R365" s="113" t="n"/>
      <c r="S365" s="113" t="n"/>
      <c r="T365" s="81" t="n"/>
      <c r="U365" s="81" t="n"/>
      <c r="V365" s="113" t="n"/>
      <c r="W365" s="81" t="n"/>
      <c r="X365" s="81" t="n"/>
      <c r="Y365" s="81" t="n"/>
      <c r="Z365" s="81" t="n"/>
      <c r="AA365" s="81" t="n"/>
      <c r="AB365" s="81" t="n"/>
      <c r="AC365" s="81" t="n"/>
      <c r="AD365" s="81" t="n"/>
      <c r="AE365" s="81" t="n"/>
      <c r="AF365" s="81" t="n"/>
      <c r="AG365" s="81" t="n"/>
      <c r="AH365" s="113" t="n"/>
      <c r="AI365" s="81" t="n"/>
      <c r="AJ365" s="81" t="n"/>
      <c r="AK365" s="113" t="n"/>
      <c r="AL365" s="81" t="n"/>
      <c r="AM365" s="81" t="n"/>
      <c r="AN365" s="81" t="n"/>
      <c r="AO365" s="113" t="n"/>
      <c r="AP365" s="113" t="n"/>
      <c r="AQ365" s="81" t="n"/>
      <c r="AR365" s="113" t="n"/>
      <c r="AS365" s="113" t="n"/>
      <c r="AT365" s="114" t="n"/>
      <c r="AU365" s="81" t="n"/>
      <c r="AV365" s="114" t="n"/>
      <c r="AW365" s="114" t="n"/>
      <c r="AX365" s="81" t="n"/>
      <c r="AY365" s="113" t="n"/>
      <c r="AZ365" s="115">
        <f>IF($B365="","",COUNTIF(References!$A$4:$A$503,$A365))</f>
        <v/>
      </c>
      <c r="BA365" s="115">
        <f>IF($B365="","",(LEN(A365)=0)+(LEN(B365)=0)+(LEN(D365)=0)+(LEN(G365)=0)+(LEN(H365)=0)+(LEN(I365)=0)+(LEN(J365)=0)+(LEN(L365)=0)+(LEN(M365)=0)+(LEN(O365)=0)+(LEN(R365)=0)+(LEN(X365)=0)+(LEN(AI365)=0)+(LEN(AJ365)=0)+(LEN(AQ365)=0)+(LEN(AR365)=0)+(LEN(AT365)=0)+(LEN(AU365)=0)+(LEN(AV365)=0)+(LEN(AX365)=0))</f>
        <v/>
      </c>
      <c r="BB365" s="115">
        <f>IF($B365="","",IF(AND(BA365=0,AZ365&gt;=1),"Complete","Incomplete"))</f>
        <v/>
      </c>
    </row>
    <row r="366" ht="15" customHeight="1" s="62">
      <c r="A366" s="81" t="n"/>
      <c r="B366" s="113" t="n"/>
      <c r="C366" s="81" t="n"/>
      <c r="D366" s="81" t="n"/>
      <c r="E366" s="81" t="n"/>
      <c r="F366" s="81" t="n"/>
      <c r="G366" s="81" t="n"/>
      <c r="H366" s="81" t="n"/>
      <c r="I366" s="81" t="n"/>
      <c r="J366" s="81" t="n"/>
      <c r="K366" s="81" t="n"/>
      <c r="L366" s="113" t="n"/>
      <c r="M366" s="81" t="n"/>
      <c r="N366" s="81" t="n"/>
      <c r="O366" s="81" t="n"/>
      <c r="P366" s="81" t="n"/>
      <c r="Q366" s="113" t="n"/>
      <c r="R366" s="113" t="n"/>
      <c r="S366" s="113" t="n"/>
      <c r="T366" s="81" t="n"/>
      <c r="U366" s="81" t="n"/>
      <c r="V366" s="113" t="n"/>
      <c r="W366" s="81" t="n"/>
      <c r="X366" s="81" t="n"/>
      <c r="Y366" s="81" t="n"/>
      <c r="Z366" s="81" t="n"/>
      <c r="AA366" s="81" t="n"/>
      <c r="AB366" s="81" t="n"/>
      <c r="AC366" s="81" t="n"/>
      <c r="AD366" s="81" t="n"/>
      <c r="AE366" s="81" t="n"/>
      <c r="AF366" s="81" t="n"/>
      <c r="AG366" s="81" t="n"/>
      <c r="AH366" s="113" t="n"/>
      <c r="AI366" s="81" t="n"/>
      <c r="AJ366" s="81" t="n"/>
      <c r="AK366" s="113" t="n"/>
      <c r="AL366" s="81" t="n"/>
      <c r="AM366" s="81" t="n"/>
      <c r="AN366" s="81" t="n"/>
      <c r="AO366" s="113" t="n"/>
      <c r="AP366" s="113" t="n"/>
      <c r="AQ366" s="81" t="n"/>
      <c r="AR366" s="113" t="n"/>
      <c r="AS366" s="113" t="n"/>
      <c r="AT366" s="114" t="n"/>
      <c r="AU366" s="81" t="n"/>
      <c r="AV366" s="114" t="n"/>
      <c r="AW366" s="114" t="n"/>
      <c r="AX366" s="81" t="n"/>
      <c r="AY366" s="113" t="n"/>
      <c r="AZ366" s="115">
        <f>IF($B366="","",COUNTIF(References!$A$4:$A$503,$A366))</f>
        <v/>
      </c>
      <c r="BA366" s="115">
        <f>IF($B366="","",(LEN(A366)=0)+(LEN(B366)=0)+(LEN(D366)=0)+(LEN(G366)=0)+(LEN(H366)=0)+(LEN(I366)=0)+(LEN(J366)=0)+(LEN(L366)=0)+(LEN(M366)=0)+(LEN(O366)=0)+(LEN(R366)=0)+(LEN(X366)=0)+(LEN(AI366)=0)+(LEN(AJ366)=0)+(LEN(AQ366)=0)+(LEN(AR366)=0)+(LEN(AT366)=0)+(LEN(AU366)=0)+(LEN(AV366)=0)+(LEN(AX366)=0))</f>
        <v/>
      </c>
      <c r="BB366" s="115">
        <f>IF($B366="","",IF(AND(BA366=0,AZ366&gt;=1),"Complete","Incomplete"))</f>
        <v/>
      </c>
    </row>
    <row r="367" ht="15" customHeight="1" s="62">
      <c r="A367" s="81" t="n"/>
      <c r="B367" s="113" t="n"/>
      <c r="C367" s="81" t="n"/>
      <c r="D367" s="81" t="n"/>
      <c r="E367" s="81" t="n"/>
      <c r="F367" s="81" t="n"/>
      <c r="G367" s="81" t="n"/>
      <c r="H367" s="81" t="n"/>
      <c r="I367" s="81" t="n"/>
      <c r="J367" s="81" t="n"/>
      <c r="K367" s="81" t="n"/>
      <c r="L367" s="113" t="n"/>
      <c r="M367" s="81" t="n"/>
      <c r="N367" s="81" t="n"/>
      <c r="O367" s="81" t="n"/>
      <c r="P367" s="81" t="n"/>
      <c r="Q367" s="113" t="n"/>
      <c r="R367" s="113" t="n"/>
      <c r="S367" s="113" t="n"/>
      <c r="T367" s="81" t="n"/>
      <c r="U367" s="81" t="n"/>
      <c r="V367" s="113" t="n"/>
      <c r="W367" s="81" t="n"/>
      <c r="X367" s="81" t="n"/>
      <c r="Y367" s="81" t="n"/>
      <c r="Z367" s="81" t="n"/>
      <c r="AA367" s="81" t="n"/>
      <c r="AB367" s="81" t="n"/>
      <c r="AC367" s="81" t="n"/>
      <c r="AD367" s="81" t="n"/>
      <c r="AE367" s="81" t="n"/>
      <c r="AF367" s="81" t="n"/>
      <c r="AG367" s="81" t="n"/>
      <c r="AH367" s="113" t="n"/>
      <c r="AI367" s="81" t="n"/>
      <c r="AJ367" s="81" t="n"/>
      <c r="AK367" s="113" t="n"/>
      <c r="AL367" s="81" t="n"/>
      <c r="AM367" s="81" t="n"/>
      <c r="AN367" s="81" t="n"/>
      <c r="AO367" s="113" t="n"/>
      <c r="AP367" s="113" t="n"/>
      <c r="AQ367" s="81" t="n"/>
      <c r="AR367" s="113" t="n"/>
      <c r="AS367" s="113" t="n"/>
      <c r="AT367" s="114" t="n"/>
      <c r="AU367" s="81" t="n"/>
      <c r="AV367" s="114" t="n"/>
      <c r="AW367" s="114" t="n"/>
      <c r="AX367" s="81" t="n"/>
      <c r="AY367" s="113" t="n"/>
      <c r="AZ367" s="115">
        <f>IF($B367="","",COUNTIF(References!$A$4:$A$503,$A367))</f>
        <v/>
      </c>
      <c r="BA367" s="115">
        <f>IF($B367="","",(LEN(A367)=0)+(LEN(B367)=0)+(LEN(D367)=0)+(LEN(G367)=0)+(LEN(H367)=0)+(LEN(I367)=0)+(LEN(J367)=0)+(LEN(L367)=0)+(LEN(M367)=0)+(LEN(O367)=0)+(LEN(R367)=0)+(LEN(X367)=0)+(LEN(AI367)=0)+(LEN(AJ367)=0)+(LEN(AQ367)=0)+(LEN(AR367)=0)+(LEN(AT367)=0)+(LEN(AU367)=0)+(LEN(AV367)=0)+(LEN(AX367)=0))</f>
        <v/>
      </c>
      <c r="BB367" s="115">
        <f>IF($B367="","",IF(AND(BA367=0,AZ367&gt;=1),"Complete","Incomplete"))</f>
        <v/>
      </c>
    </row>
    <row r="368" ht="15" customHeight="1" s="62">
      <c r="A368" s="81" t="n"/>
      <c r="B368" s="113" t="n"/>
      <c r="C368" s="81" t="n"/>
      <c r="D368" s="81" t="n"/>
      <c r="E368" s="81" t="n"/>
      <c r="F368" s="81" t="n"/>
      <c r="G368" s="81" t="n"/>
      <c r="H368" s="81" t="n"/>
      <c r="I368" s="81" t="n"/>
      <c r="J368" s="81" t="n"/>
      <c r="K368" s="81" t="n"/>
      <c r="L368" s="113" t="n"/>
      <c r="M368" s="81" t="n"/>
      <c r="N368" s="81" t="n"/>
      <c r="O368" s="81" t="n"/>
      <c r="P368" s="81" t="n"/>
      <c r="Q368" s="113" t="n"/>
      <c r="R368" s="113" t="n"/>
      <c r="S368" s="113" t="n"/>
      <c r="T368" s="81" t="n"/>
      <c r="U368" s="81" t="n"/>
      <c r="V368" s="113" t="n"/>
      <c r="W368" s="81" t="n"/>
      <c r="X368" s="81" t="n"/>
      <c r="Y368" s="81" t="n"/>
      <c r="Z368" s="81" t="n"/>
      <c r="AA368" s="81" t="n"/>
      <c r="AB368" s="81" t="n"/>
      <c r="AC368" s="81" t="n"/>
      <c r="AD368" s="81" t="n"/>
      <c r="AE368" s="81" t="n"/>
      <c r="AF368" s="81" t="n"/>
      <c r="AG368" s="81" t="n"/>
      <c r="AH368" s="113" t="n"/>
      <c r="AI368" s="81" t="n"/>
      <c r="AJ368" s="81" t="n"/>
      <c r="AK368" s="113" t="n"/>
      <c r="AL368" s="81" t="n"/>
      <c r="AM368" s="81" t="n"/>
      <c r="AN368" s="81" t="n"/>
      <c r="AO368" s="113" t="n"/>
      <c r="AP368" s="113" t="n"/>
      <c r="AQ368" s="81" t="n"/>
      <c r="AR368" s="113" t="n"/>
      <c r="AS368" s="113" t="n"/>
      <c r="AT368" s="114" t="n"/>
      <c r="AU368" s="81" t="n"/>
      <c r="AV368" s="114" t="n"/>
      <c r="AW368" s="114" t="n"/>
      <c r="AX368" s="81" t="n"/>
      <c r="AY368" s="113" t="n"/>
      <c r="AZ368" s="115">
        <f>IF($B368="","",COUNTIF(References!$A$4:$A$503,$A368))</f>
        <v/>
      </c>
      <c r="BA368" s="115">
        <f>IF($B368="","",(LEN(A368)=0)+(LEN(B368)=0)+(LEN(D368)=0)+(LEN(G368)=0)+(LEN(H368)=0)+(LEN(I368)=0)+(LEN(J368)=0)+(LEN(L368)=0)+(LEN(M368)=0)+(LEN(O368)=0)+(LEN(R368)=0)+(LEN(X368)=0)+(LEN(AI368)=0)+(LEN(AJ368)=0)+(LEN(AQ368)=0)+(LEN(AR368)=0)+(LEN(AT368)=0)+(LEN(AU368)=0)+(LEN(AV368)=0)+(LEN(AX368)=0))</f>
        <v/>
      </c>
      <c r="BB368" s="115">
        <f>IF($B368="","",IF(AND(BA368=0,AZ368&gt;=1),"Complete","Incomplete"))</f>
        <v/>
      </c>
    </row>
    <row r="369" ht="15" customHeight="1" s="62">
      <c r="A369" s="81" t="n"/>
      <c r="B369" s="113" t="n"/>
      <c r="C369" s="81" t="n"/>
      <c r="D369" s="81" t="n"/>
      <c r="E369" s="81" t="n"/>
      <c r="F369" s="81" t="n"/>
      <c r="G369" s="81" t="n"/>
      <c r="H369" s="81" t="n"/>
      <c r="I369" s="81" t="n"/>
      <c r="J369" s="81" t="n"/>
      <c r="K369" s="81" t="n"/>
      <c r="L369" s="113" t="n"/>
      <c r="M369" s="81" t="n"/>
      <c r="N369" s="81" t="n"/>
      <c r="O369" s="81" t="n"/>
      <c r="P369" s="81" t="n"/>
      <c r="Q369" s="113" t="n"/>
      <c r="R369" s="113" t="n"/>
      <c r="S369" s="113" t="n"/>
      <c r="T369" s="81" t="n"/>
      <c r="U369" s="81" t="n"/>
      <c r="V369" s="113" t="n"/>
      <c r="W369" s="81" t="n"/>
      <c r="X369" s="81" t="n"/>
      <c r="Y369" s="81" t="n"/>
      <c r="Z369" s="81" t="n"/>
      <c r="AA369" s="81" t="n"/>
      <c r="AB369" s="81" t="n"/>
      <c r="AC369" s="81" t="n"/>
      <c r="AD369" s="81" t="n"/>
      <c r="AE369" s="81" t="n"/>
      <c r="AF369" s="81" t="n"/>
      <c r="AG369" s="81" t="n"/>
      <c r="AH369" s="113" t="n"/>
      <c r="AI369" s="81" t="n"/>
      <c r="AJ369" s="81" t="n"/>
      <c r="AK369" s="113" t="n"/>
      <c r="AL369" s="81" t="n"/>
      <c r="AM369" s="81" t="n"/>
      <c r="AN369" s="81" t="n"/>
      <c r="AO369" s="113" t="n"/>
      <c r="AP369" s="113" t="n"/>
      <c r="AQ369" s="81" t="n"/>
      <c r="AR369" s="113" t="n"/>
      <c r="AS369" s="113" t="n"/>
      <c r="AT369" s="114" t="n"/>
      <c r="AU369" s="81" t="n"/>
      <c r="AV369" s="114" t="n"/>
      <c r="AW369" s="114" t="n"/>
      <c r="AX369" s="81" t="n"/>
      <c r="AY369" s="113" t="n"/>
      <c r="AZ369" s="115">
        <f>IF($B369="","",COUNTIF(References!$A$4:$A$503,$A369))</f>
        <v/>
      </c>
      <c r="BA369" s="115">
        <f>IF($B369="","",(LEN(A369)=0)+(LEN(B369)=0)+(LEN(D369)=0)+(LEN(G369)=0)+(LEN(H369)=0)+(LEN(I369)=0)+(LEN(J369)=0)+(LEN(L369)=0)+(LEN(M369)=0)+(LEN(O369)=0)+(LEN(R369)=0)+(LEN(X369)=0)+(LEN(AI369)=0)+(LEN(AJ369)=0)+(LEN(AQ369)=0)+(LEN(AR369)=0)+(LEN(AT369)=0)+(LEN(AU369)=0)+(LEN(AV369)=0)+(LEN(AX369)=0))</f>
        <v/>
      </c>
      <c r="BB369" s="115">
        <f>IF($B369="","",IF(AND(BA369=0,AZ369&gt;=1),"Complete","Incomplete"))</f>
        <v/>
      </c>
    </row>
    <row r="370" ht="15" customHeight="1" s="62">
      <c r="A370" s="81" t="n"/>
      <c r="B370" s="113" t="n"/>
      <c r="C370" s="81" t="n"/>
      <c r="D370" s="81" t="n"/>
      <c r="E370" s="81" t="n"/>
      <c r="F370" s="81" t="n"/>
      <c r="G370" s="81" t="n"/>
      <c r="H370" s="81" t="n"/>
      <c r="I370" s="81" t="n"/>
      <c r="J370" s="81" t="n"/>
      <c r="K370" s="81" t="n"/>
      <c r="L370" s="113" t="n"/>
      <c r="M370" s="81" t="n"/>
      <c r="N370" s="81" t="n"/>
      <c r="O370" s="81" t="n"/>
      <c r="P370" s="81" t="n"/>
      <c r="Q370" s="113" t="n"/>
      <c r="R370" s="113" t="n"/>
      <c r="S370" s="113" t="n"/>
      <c r="T370" s="81" t="n"/>
      <c r="U370" s="81" t="n"/>
      <c r="V370" s="113" t="n"/>
      <c r="W370" s="81" t="n"/>
      <c r="X370" s="81" t="n"/>
      <c r="Y370" s="81" t="n"/>
      <c r="Z370" s="81" t="n"/>
      <c r="AA370" s="81" t="n"/>
      <c r="AB370" s="81" t="n"/>
      <c r="AC370" s="81" t="n"/>
      <c r="AD370" s="81" t="n"/>
      <c r="AE370" s="81" t="n"/>
      <c r="AF370" s="81" t="n"/>
      <c r="AG370" s="81" t="n"/>
      <c r="AH370" s="113" t="n"/>
      <c r="AI370" s="81" t="n"/>
      <c r="AJ370" s="81" t="n"/>
      <c r="AK370" s="113" t="n"/>
      <c r="AL370" s="81" t="n"/>
      <c r="AM370" s="81" t="n"/>
      <c r="AN370" s="81" t="n"/>
      <c r="AO370" s="113" t="n"/>
      <c r="AP370" s="113" t="n"/>
      <c r="AQ370" s="81" t="n"/>
      <c r="AR370" s="113" t="n"/>
      <c r="AS370" s="113" t="n"/>
      <c r="AT370" s="114" t="n"/>
      <c r="AU370" s="81" t="n"/>
      <c r="AV370" s="114" t="n"/>
      <c r="AW370" s="114" t="n"/>
      <c r="AX370" s="81" t="n"/>
      <c r="AY370" s="113" t="n"/>
      <c r="AZ370" s="115">
        <f>IF($B370="","",COUNTIF(References!$A$4:$A$503,$A370))</f>
        <v/>
      </c>
      <c r="BA370" s="115">
        <f>IF($B370="","",(LEN(A370)=0)+(LEN(B370)=0)+(LEN(D370)=0)+(LEN(G370)=0)+(LEN(H370)=0)+(LEN(I370)=0)+(LEN(J370)=0)+(LEN(L370)=0)+(LEN(M370)=0)+(LEN(O370)=0)+(LEN(R370)=0)+(LEN(X370)=0)+(LEN(AI370)=0)+(LEN(AJ370)=0)+(LEN(AQ370)=0)+(LEN(AR370)=0)+(LEN(AT370)=0)+(LEN(AU370)=0)+(LEN(AV370)=0)+(LEN(AX370)=0))</f>
        <v/>
      </c>
      <c r="BB370" s="115">
        <f>IF($B370="","",IF(AND(BA370=0,AZ370&gt;=1),"Complete","Incomplete"))</f>
        <v/>
      </c>
    </row>
    <row r="371" ht="15" customHeight="1" s="62">
      <c r="A371" s="81" t="n"/>
      <c r="B371" s="113" t="n"/>
      <c r="C371" s="81" t="n"/>
      <c r="D371" s="81" t="n"/>
      <c r="E371" s="81" t="n"/>
      <c r="F371" s="81" t="n"/>
      <c r="G371" s="81" t="n"/>
      <c r="H371" s="81" t="n"/>
      <c r="I371" s="81" t="n"/>
      <c r="J371" s="81" t="n"/>
      <c r="K371" s="81" t="n"/>
      <c r="L371" s="113" t="n"/>
      <c r="M371" s="81" t="n"/>
      <c r="N371" s="81" t="n"/>
      <c r="O371" s="81" t="n"/>
      <c r="P371" s="81" t="n"/>
      <c r="Q371" s="113" t="n"/>
      <c r="R371" s="113" t="n"/>
      <c r="S371" s="113" t="n"/>
      <c r="T371" s="81" t="n"/>
      <c r="U371" s="81" t="n"/>
      <c r="V371" s="113" t="n"/>
      <c r="W371" s="81" t="n"/>
      <c r="X371" s="81" t="n"/>
      <c r="Y371" s="81" t="n"/>
      <c r="Z371" s="81" t="n"/>
      <c r="AA371" s="81" t="n"/>
      <c r="AB371" s="81" t="n"/>
      <c r="AC371" s="81" t="n"/>
      <c r="AD371" s="81" t="n"/>
      <c r="AE371" s="81" t="n"/>
      <c r="AF371" s="81" t="n"/>
      <c r="AG371" s="81" t="n"/>
      <c r="AH371" s="113" t="n"/>
      <c r="AI371" s="81" t="n"/>
      <c r="AJ371" s="81" t="n"/>
      <c r="AK371" s="113" t="n"/>
      <c r="AL371" s="81" t="n"/>
      <c r="AM371" s="81" t="n"/>
      <c r="AN371" s="81" t="n"/>
      <c r="AO371" s="113" t="n"/>
      <c r="AP371" s="113" t="n"/>
      <c r="AQ371" s="81" t="n"/>
      <c r="AR371" s="113" t="n"/>
      <c r="AS371" s="113" t="n"/>
      <c r="AT371" s="114" t="n"/>
      <c r="AU371" s="81" t="n"/>
      <c r="AV371" s="114" t="n"/>
      <c r="AW371" s="114" t="n"/>
      <c r="AX371" s="81" t="n"/>
      <c r="AY371" s="113" t="n"/>
      <c r="AZ371" s="115">
        <f>IF($B371="","",COUNTIF(References!$A$4:$A$503,$A371))</f>
        <v/>
      </c>
      <c r="BA371" s="115">
        <f>IF($B371="","",(LEN(A371)=0)+(LEN(B371)=0)+(LEN(D371)=0)+(LEN(G371)=0)+(LEN(H371)=0)+(LEN(I371)=0)+(LEN(J371)=0)+(LEN(L371)=0)+(LEN(M371)=0)+(LEN(O371)=0)+(LEN(R371)=0)+(LEN(X371)=0)+(LEN(AI371)=0)+(LEN(AJ371)=0)+(LEN(AQ371)=0)+(LEN(AR371)=0)+(LEN(AT371)=0)+(LEN(AU371)=0)+(LEN(AV371)=0)+(LEN(AX371)=0))</f>
        <v/>
      </c>
      <c r="BB371" s="115">
        <f>IF($B371="","",IF(AND(BA371=0,AZ371&gt;=1),"Complete","Incomplete"))</f>
        <v/>
      </c>
    </row>
    <row r="372" ht="15" customHeight="1" s="62">
      <c r="A372" s="81" t="n"/>
      <c r="B372" s="113" t="n"/>
      <c r="C372" s="81" t="n"/>
      <c r="D372" s="81" t="n"/>
      <c r="E372" s="81" t="n"/>
      <c r="F372" s="81" t="n"/>
      <c r="G372" s="81" t="n"/>
      <c r="H372" s="81" t="n"/>
      <c r="I372" s="81" t="n"/>
      <c r="J372" s="81" t="n"/>
      <c r="K372" s="81" t="n"/>
      <c r="L372" s="113" t="n"/>
      <c r="M372" s="81" t="n"/>
      <c r="N372" s="81" t="n"/>
      <c r="O372" s="81" t="n"/>
      <c r="P372" s="81" t="n"/>
      <c r="Q372" s="113" t="n"/>
      <c r="R372" s="113" t="n"/>
      <c r="S372" s="113" t="n"/>
      <c r="T372" s="81" t="n"/>
      <c r="U372" s="81" t="n"/>
      <c r="V372" s="113" t="n"/>
      <c r="W372" s="81" t="n"/>
      <c r="X372" s="81" t="n"/>
      <c r="Y372" s="81" t="n"/>
      <c r="Z372" s="81" t="n"/>
      <c r="AA372" s="81" t="n"/>
      <c r="AB372" s="81" t="n"/>
      <c r="AC372" s="81" t="n"/>
      <c r="AD372" s="81" t="n"/>
      <c r="AE372" s="81" t="n"/>
      <c r="AF372" s="81" t="n"/>
      <c r="AG372" s="81" t="n"/>
      <c r="AH372" s="113" t="n"/>
      <c r="AI372" s="81" t="n"/>
      <c r="AJ372" s="81" t="n"/>
      <c r="AK372" s="113" t="n"/>
      <c r="AL372" s="81" t="n"/>
      <c r="AM372" s="81" t="n"/>
      <c r="AN372" s="81" t="n"/>
      <c r="AO372" s="113" t="n"/>
      <c r="AP372" s="113" t="n"/>
      <c r="AQ372" s="81" t="n"/>
      <c r="AR372" s="113" t="n"/>
      <c r="AS372" s="113" t="n"/>
      <c r="AT372" s="114" t="n"/>
      <c r="AU372" s="81" t="n"/>
      <c r="AV372" s="114" t="n"/>
      <c r="AW372" s="114" t="n"/>
      <c r="AX372" s="81" t="n"/>
      <c r="AY372" s="113" t="n"/>
      <c r="AZ372" s="115">
        <f>IF($B372="","",COUNTIF(References!$A$4:$A$503,$A372))</f>
        <v/>
      </c>
      <c r="BA372" s="115">
        <f>IF($B372="","",(LEN(A372)=0)+(LEN(B372)=0)+(LEN(D372)=0)+(LEN(G372)=0)+(LEN(H372)=0)+(LEN(I372)=0)+(LEN(J372)=0)+(LEN(L372)=0)+(LEN(M372)=0)+(LEN(O372)=0)+(LEN(R372)=0)+(LEN(X372)=0)+(LEN(AI372)=0)+(LEN(AJ372)=0)+(LEN(AQ372)=0)+(LEN(AR372)=0)+(LEN(AT372)=0)+(LEN(AU372)=0)+(LEN(AV372)=0)+(LEN(AX372)=0))</f>
        <v/>
      </c>
      <c r="BB372" s="115">
        <f>IF($B372="","",IF(AND(BA372=0,AZ372&gt;=1),"Complete","Incomplete"))</f>
        <v/>
      </c>
    </row>
    <row r="373" ht="15" customHeight="1" s="62">
      <c r="A373" s="81" t="n"/>
      <c r="B373" s="113" t="n"/>
      <c r="C373" s="81" t="n"/>
      <c r="D373" s="81" t="n"/>
      <c r="E373" s="81" t="n"/>
      <c r="F373" s="81" t="n"/>
      <c r="G373" s="81" t="n"/>
      <c r="H373" s="81" t="n"/>
      <c r="I373" s="81" t="n"/>
      <c r="J373" s="81" t="n"/>
      <c r="K373" s="81" t="n"/>
      <c r="L373" s="113" t="n"/>
      <c r="M373" s="81" t="n"/>
      <c r="N373" s="81" t="n"/>
      <c r="O373" s="81" t="n"/>
      <c r="P373" s="81" t="n"/>
      <c r="Q373" s="113" t="n"/>
      <c r="R373" s="113" t="n"/>
      <c r="S373" s="113" t="n"/>
      <c r="T373" s="81" t="n"/>
      <c r="U373" s="81" t="n"/>
      <c r="V373" s="113" t="n"/>
      <c r="W373" s="81" t="n"/>
      <c r="X373" s="81" t="n"/>
      <c r="Y373" s="81" t="n"/>
      <c r="Z373" s="81" t="n"/>
      <c r="AA373" s="81" t="n"/>
      <c r="AB373" s="81" t="n"/>
      <c r="AC373" s="81" t="n"/>
      <c r="AD373" s="81" t="n"/>
      <c r="AE373" s="81" t="n"/>
      <c r="AF373" s="81" t="n"/>
      <c r="AG373" s="81" t="n"/>
      <c r="AH373" s="113" t="n"/>
      <c r="AI373" s="81" t="n"/>
      <c r="AJ373" s="81" t="n"/>
      <c r="AK373" s="113" t="n"/>
      <c r="AL373" s="81" t="n"/>
      <c r="AM373" s="81" t="n"/>
      <c r="AN373" s="81" t="n"/>
      <c r="AO373" s="113" t="n"/>
      <c r="AP373" s="113" t="n"/>
      <c r="AQ373" s="81" t="n"/>
      <c r="AR373" s="113" t="n"/>
      <c r="AS373" s="113" t="n"/>
      <c r="AT373" s="114" t="n"/>
      <c r="AU373" s="81" t="n"/>
      <c r="AV373" s="114" t="n"/>
      <c r="AW373" s="114" t="n"/>
      <c r="AX373" s="81" t="n"/>
      <c r="AY373" s="113" t="n"/>
      <c r="AZ373" s="115">
        <f>IF($B373="","",COUNTIF(References!$A$4:$A$503,$A373))</f>
        <v/>
      </c>
      <c r="BA373" s="115">
        <f>IF($B373="","",(LEN(A373)=0)+(LEN(B373)=0)+(LEN(D373)=0)+(LEN(G373)=0)+(LEN(H373)=0)+(LEN(I373)=0)+(LEN(J373)=0)+(LEN(L373)=0)+(LEN(M373)=0)+(LEN(O373)=0)+(LEN(R373)=0)+(LEN(X373)=0)+(LEN(AI373)=0)+(LEN(AJ373)=0)+(LEN(AQ373)=0)+(LEN(AR373)=0)+(LEN(AT373)=0)+(LEN(AU373)=0)+(LEN(AV373)=0)+(LEN(AX373)=0))</f>
        <v/>
      </c>
      <c r="BB373" s="115">
        <f>IF($B373="","",IF(AND(BA373=0,AZ373&gt;=1),"Complete","Incomplete"))</f>
        <v/>
      </c>
    </row>
    <row r="374" ht="15" customHeight="1" s="62">
      <c r="A374" s="81" t="n"/>
      <c r="B374" s="113" t="n"/>
      <c r="C374" s="81" t="n"/>
      <c r="D374" s="81" t="n"/>
      <c r="E374" s="81" t="n"/>
      <c r="F374" s="81" t="n"/>
      <c r="G374" s="81" t="n"/>
      <c r="H374" s="81" t="n"/>
      <c r="I374" s="81" t="n"/>
      <c r="J374" s="81" t="n"/>
      <c r="K374" s="81" t="n"/>
      <c r="L374" s="113" t="n"/>
      <c r="M374" s="81" t="n"/>
      <c r="N374" s="81" t="n"/>
      <c r="O374" s="81" t="n"/>
      <c r="P374" s="81" t="n"/>
      <c r="Q374" s="113" t="n"/>
      <c r="R374" s="113" t="n"/>
      <c r="S374" s="113" t="n"/>
      <c r="T374" s="81" t="n"/>
      <c r="U374" s="81" t="n"/>
      <c r="V374" s="113" t="n"/>
      <c r="W374" s="81" t="n"/>
      <c r="X374" s="81" t="n"/>
      <c r="Y374" s="81" t="n"/>
      <c r="Z374" s="81" t="n"/>
      <c r="AA374" s="81" t="n"/>
      <c r="AB374" s="81" t="n"/>
      <c r="AC374" s="81" t="n"/>
      <c r="AD374" s="81" t="n"/>
      <c r="AE374" s="81" t="n"/>
      <c r="AF374" s="81" t="n"/>
      <c r="AG374" s="81" t="n"/>
      <c r="AH374" s="113" t="n"/>
      <c r="AI374" s="81" t="n"/>
      <c r="AJ374" s="81" t="n"/>
      <c r="AK374" s="113" t="n"/>
      <c r="AL374" s="81" t="n"/>
      <c r="AM374" s="81" t="n"/>
      <c r="AN374" s="81" t="n"/>
      <c r="AO374" s="113" t="n"/>
      <c r="AP374" s="113" t="n"/>
      <c r="AQ374" s="81" t="n"/>
      <c r="AR374" s="113" t="n"/>
      <c r="AS374" s="113" t="n"/>
      <c r="AT374" s="114" t="n"/>
      <c r="AU374" s="81" t="n"/>
      <c r="AV374" s="114" t="n"/>
      <c r="AW374" s="114" t="n"/>
      <c r="AX374" s="81" t="n"/>
      <c r="AY374" s="113" t="n"/>
      <c r="AZ374" s="115">
        <f>IF($B374="","",COUNTIF(References!$A$4:$A$503,$A374))</f>
        <v/>
      </c>
      <c r="BA374" s="115">
        <f>IF($B374="","",(LEN(A374)=0)+(LEN(B374)=0)+(LEN(D374)=0)+(LEN(G374)=0)+(LEN(H374)=0)+(LEN(I374)=0)+(LEN(J374)=0)+(LEN(L374)=0)+(LEN(M374)=0)+(LEN(O374)=0)+(LEN(R374)=0)+(LEN(X374)=0)+(LEN(AI374)=0)+(LEN(AJ374)=0)+(LEN(AQ374)=0)+(LEN(AR374)=0)+(LEN(AT374)=0)+(LEN(AU374)=0)+(LEN(AV374)=0)+(LEN(AX374)=0))</f>
        <v/>
      </c>
      <c r="BB374" s="115">
        <f>IF($B374="","",IF(AND(BA374=0,AZ374&gt;=1),"Complete","Incomplete"))</f>
        <v/>
      </c>
    </row>
    <row r="375" ht="15" customHeight="1" s="62">
      <c r="A375" s="81" t="n"/>
      <c r="B375" s="113" t="n"/>
      <c r="C375" s="81" t="n"/>
      <c r="D375" s="81" t="n"/>
      <c r="E375" s="81" t="n"/>
      <c r="F375" s="81" t="n"/>
      <c r="G375" s="81" t="n"/>
      <c r="H375" s="81" t="n"/>
      <c r="I375" s="81" t="n"/>
      <c r="J375" s="81" t="n"/>
      <c r="K375" s="81" t="n"/>
      <c r="L375" s="113" t="n"/>
      <c r="M375" s="81" t="n"/>
      <c r="N375" s="81" t="n"/>
      <c r="O375" s="81" t="n"/>
      <c r="P375" s="81" t="n"/>
      <c r="Q375" s="113" t="n"/>
      <c r="R375" s="113" t="n"/>
      <c r="S375" s="113" t="n"/>
      <c r="T375" s="81" t="n"/>
      <c r="U375" s="81" t="n"/>
      <c r="V375" s="113" t="n"/>
      <c r="W375" s="81" t="n"/>
      <c r="X375" s="81" t="n"/>
      <c r="Y375" s="81" t="n"/>
      <c r="Z375" s="81" t="n"/>
      <c r="AA375" s="81" t="n"/>
      <c r="AB375" s="81" t="n"/>
      <c r="AC375" s="81" t="n"/>
      <c r="AD375" s="81" t="n"/>
      <c r="AE375" s="81" t="n"/>
      <c r="AF375" s="81" t="n"/>
      <c r="AG375" s="81" t="n"/>
      <c r="AH375" s="113" t="n"/>
      <c r="AI375" s="81" t="n"/>
      <c r="AJ375" s="81" t="n"/>
      <c r="AK375" s="113" t="n"/>
      <c r="AL375" s="81" t="n"/>
      <c r="AM375" s="81" t="n"/>
      <c r="AN375" s="81" t="n"/>
      <c r="AO375" s="113" t="n"/>
      <c r="AP375" s="113" t="n"/>
      <c r="AQ375" s="81" t="n"/>
      <c r="AR375" s="113" t="n"/>
      <c r="AS375" s="113" t="n"/>
      <c r="AT375" s="114" t="n"/>
      <c r="AU375" s="81" t="n"/>
      <c r="AV375" s="114" t="n"/>
      <c r="AW375" s="114" t="n"/>
      <c r="AX375" s="81" t="n"/>
      <c r="AY375" s="113" t="n"/>
      <c r="AZ375" s="115">
        <f>IF($B375="","",COUNTIF(References!$A$4:$A$503,$A375))</f>
        <v/>
      </c>
      <c r="BA375" s="115">
        <f>IF($B375="","",(LEN(A375)=0)+(LEN(B375)=0)+(LEN(D375)=0)+(LEN(G375)=0)+(LEN(H375)=0)+(LEN(I375)=0)+(LEN(J375)=0)+(LEN(L375)=0)+(LEN(M375)=0)+(LEN(O375)=0)+(LEN(R375)=0)+(LEN(X375)=0)+(LEN(AI375)=0)+(LEN(AJ375)=0)+(LEN(AQ375)=0)+(LEN(AR375)=0)+(LEN(AT375)=0)+(LEN(AU375)=0)+(LEN(AV375)=0)+(LEN(AX375)=0))</f>
        <v/>
      </c>
      <c r="BB375" s="115">
        <f>IF($B375="","",IF(AND(BA375=0,AZ375&gt;=1),"Complete","Incomplete"))</f>
        <v/>
      </c>
    </row>
    <row r="376" ht="15" customHeight="1" s="62">
      <c r="A376" s="81" t="n"/>
      <c r="B376" s="113" t="n"/>
      <c r="C376" s="81" t="n"/>
      <c r="D376" s="81" t="n"/>
      <c r="E376" s="81" t="n"/>
      <c r="F376" s="81" t="n"/>
      <c r="G376" s="81" t="n"/>
      <c r="H376" s="81" t="n"/>
      <c r="I376" s="81" t="n"/>
      <c r="J376" s="81" t="n"/>
      <c r="K376" s="81" t="n"/>
      <c r="L376" s="113" t="n"/>
      <c r="M376" s="81" t="n"/>
      <c r="N376" s="81" t="n"/>
      <c r="O376" s="81" t="n"/>
      <c r="P376" s="81" t="n"/>
      <c r="Q376" s="113" t="n"/>
      <c r="R376" s="113" t="n"/>
      <c r="S376" s="113" t="n"/>
      <c r="T376" s="81" t="n"/>
      <c r="U376" s="81" t="n"/>
      <c r="V376" s="113" t="n"/>
      <c r="W376" s="81" t="n"/>
      <c r="X376" s="81" t="n"/>
      <c r="Y376" s="81" t="n"/>
      <c r="Z376" s="81" t="n"/>
      <c r="AA376" s="81" t="n"/>
      <c r="AB376" s="81" t="n"/>
      <c r="AC376" s="81" t="n"/>
      <c r="AD376" s="81" t="n"/>
      <c r="AE376" s="81" t="n"/>
      <c r="AF376" s="81" t="n"/>
      <c r="AG376" s="81" t="n"/>
      <c r="AH376" s="113" t="n"/>
      <c r="AI376" s="81" t="n"/>
      <c r="AJ376" s="81" t="n"/>
      <c r="AK376" s="113" t="n"/>
      <c r="AL376" s="81" t="n"/>
      <c r="AM376" s="81" t="n"/>
      <c r="AN376" s="81" t="n"/>
      <c r="AO376" s="113" t="n"/>
      <c r="AP376" s="113" t="n"/>
      <c r="AQ376" s="81" t="n"/>
      <c r="AR376" s="113" t="n"/>
      <c r="AS376" s="113" t="n"/>
      <c r="AT376" s="114" t="n"/>
      <c r="AU376" s="81" t="n"/>
      <c r="AV376" s="114" t="n"/>
      <c r="AW376" s="114" t="n"/>
      <c r="AX376" s="81" t="n"/>
      <c r="AY376" s="113" t="n"/>
      <c r="AZ376" s="115">
        <f>IF($B376="","",COUNTIF(References!$A$4:$A$503,$A376))</f>
        <v/>
      </c>
      <c r="BA376" s="115">
        <f>IF($B376="","",(LEN(A376)=0)+(LEN(B376)=0)+(LEN(D376)=0)+(LEN(G376)=0)+(LEN(H376)=0)+(LEN(I376)=0)+(LEN(J376)=0)+(LEN(L376)=0)+(LEN(M376)=0)+(LEN(O376)=0)+(LEN(R376)=0)+(LEN(X376)=0)+(LEN(AI376)=0)+(LEN(AJ376)=0)+(LEN(AQ376)=0)+(LEN(AR376)=0)+(LEN(AT376)=0)+(LEN(AU376)=0)+(LEN(AV376)=0)+(LEN(AX376)=0))</f>
        <v/>
      </c>
      <c r="BB376" s="115">
        <f>IF($B376="","",IF(AND(BA376=0,AZ376&gt;=1),"Complete","Incomplete"))</f>
        <v/>
      </c>
    </row>
    <row r="377" ht="15" customHeight="1" s="62">
      <c r="A377" s="81" t="n"/>
      <c r="B377" s="113" t="n"/>
      <c r="C377" s="81" t="n"/>
      <c r="D377" s="81" t="n"/>
      <c r="E377" s="81" t="n"/>
      <c r="F377" s="81" t="n"/>
      <c r="G377" s="81" t="n"/>
      <c r="H377" s="81" t="n"/>
      <c r="I377" s="81" t="n"/>
      <c r="J377" s="81" t="n"/>
      <c r="K377" s="81" t="n"/>
      <c r="L377" s="113" t="n"/>
      <c r="M377" s="81" t="n"/>
      <c r="N377" s="81" t="n"/>
      <c r="O377" s="81" t="n"/>
      <c r="P377" s="81" t="n"/>
      <c r="Q377" s="113" t="n"/>
      <c r="R377" s="113" t="n"/>
      <c r="S377" s="113" t="n"/>
      <c r="T377" s="81" t="n"/>
      <c r="U377" s="81" t="n"/>
      <c r="V377" s="113" t="n"/>
      <c r="W377" s="81" t="n"/>
      <c r="X377" s="81" t="n"/>
      <c r="Y377" s="81" t="n"/>
      <c r="Z377" s="81" t="n"/>
      <c r="AA377" s="81" t="n"/>
      <c r="AB377" s="81" t="n"/>
      <c r="AC377" s="81" t="n"/>
      <c r="AD377" s="81" t="n"/>
      <c r="AE377" s="81" t="n"/>
      <c r="AF377" s="81" t="n"/>
      <c r="AG377" s="81" t="n"/>
      <c r="AH377" s="113" t="n"/>
      <c r="AI377" s="81" t="n"/>
      <c r="AJ377" s="81" t="n"/>
      <c r="AK377" s="113" t="n"/>
      <c r="AL377" s="81" t="n"/>
      <c r="AM377" s="81" t="n"/>
      <c r="AN377" s="81" t="n"/>
      <c r="AO377" s="113" t="n"/>
      <c r="AP377" s="113" t="n"/>
      <c r="AQ377" s="81" t="n"/>
      <c r="AR377" s="113" t="n"/>
      <c r="AS377" s="113" t="n"/>
      <c r="AT377" s="114" t="n"/>
      <c r="AU377" s="81" t="n"/>
      <c r="AV377" s="114" t="n"/>
      <c r="AW377" s="114" t="n"/>
      <c r="AX377" s="81" t="n"/>
      <c r="AY377" s="113" t="n"/>
      <c r="AZ377" s="115">
        <f>IF($B377="","",COUNTIF(References!$A$4:$A$503,$A377))</f>
        <v/>
      </c>
      <c r="BA377" s="115">
        <f>IF($B377="","",(LEN(A377)=0)+(LEN(B377)=0)+(LEN(D377)=0)+(LEN(G377)=0)+(LEN(H377)=0)+(LEN(I377)=0)+(LEN(J377)=0)+(LEN(L377)=0)+(LEN(M377)=0)+(LEN(O377)=0)+(LEN(R377)=0)+(LEN(X377)=0)+(LEN(AI377)=0)+(LEN(AJ377)=0)+(LEN(AQ377)=0)+(LEN(AR377)=0)+(LEN(AT377)=0)+(LEN(AU377)=0)+(LEN(AV377)=0)+(LEN(AX377)=0))</f>
        <v/>
      </c>
      <c r="BB377" s="115">
        <f>IF($B377="","",IF(AND(BA377=0,AZ377&gt;=1),"Complete","Incomplete"))</f>
        <v/>
      </c>
    </row>
    <row r="378" ht="15" customHeight="1" s="62">
      <c r="A378" s="81" t="n"/>
      <c r="B378" s="113" t="n"/>
      <c r="C378" s="81" t="n"/>
      <c r="D378" s="81" t="n"/>
      <c r="E378" s="81" t="n"/>
      <c r="F378" s="81" t="n"/>
      <c r="G378" s="81" t="n"/>
      <c r="H378" s="81" t="n"/>
      <c r="I378" s="81" t="n"/>
      <c r="J378" s="81" t="n"/>
      <c r="K378" s="81" t="n"/>
      <c r="L378" s="113" t="n"/>
      <c r="M378" s="81" t="n"/>
      <c r="N378" s="81" t="n"/>
      <c r="O378" s="81" t="n"/>
      <c r="P378" s="81" t="n"/>
      <c r="Q378" s="113" t="n"/>
      <c r="R378" s="113" t="n"/>
      <c r="S378" s="113" t="n"/>
      <c r="T378" s="81" t="n"/>
      <c r="U378" s="81" t="n"/>
      <c r="V378" s="113" t="n"/>
      <c r="W378" s="81" t="n"/>
      <c r="X378" s="81" t="n"/>
      <c r="Y378" s="81" t="n"/>
      <c r="Z378" s="81" t="n"/>
      <c r="AA378" s="81" t="n"/>
      <c r="AB378" s="81" t="n"/>
      <c r="AC378" s="81" t="n"/>
      <c r="AD378" s="81" t="n"/>
      <c r="AE378" s="81" t="n"/>
      <c r="AF378" s="81" t="n"/>
      <c r="AG378" s="81" t="n"/>
      <c r="AH378" s="113" t="n"/>
      <c r="AI378" s="81" t="n"/>
      <c r="AJ378" s="81" t="n"/>
      <c r="AK378" s="113" t="n"/>
      <c r="AL378" s="81" t="n"/>
      <c r="AM378" s="81" t="n"/>
      <c r="AN378" s="81" t="n"/>
      <c r="AO378" s="113" t="n"/>
      <c r="AP378" s="113" t="n"/>
      <c r="AQ378" s="81" t="n"/>
      <c r="AR378" s="113" t="n"/>
      <c r="AS378" s="113" t="n"/>
      <c r="AT378" s="114" t="n"/>
      <c r="AU378" s="81" t="n"/>
      <c r="AV378" s="114" t="n"/>
      <c r="AW378" s="114" t="n"/>
      <c r="AX378" s="81" t="n"/>
      <c r="AY378" s="113" t="n"/>
      <c r="AZ378" s="115">
        <f>IF($B378="","",COUNTIF(References!$A$4:$A$503,$A378))</f>
        <v/>
      </c>
      <c r="BA378" s="115">
        <f>IF($B378="","",(LEN(A378)=0)+(LEN(B378)=0)+(LEN(D378)=0)+(LEN(G378)=0)+(LEN(H378)=0)+(LEN(I378)=0)+(LEN(J378)=0)+(LEN(L378)=0)+(LEN(M378)=0)+(LEN(O378)=0)+(LEN(R378)=0)+(LEN(X378)=0)+(LEN(AI378)=0)+(LEN(AJ378)=0)+(LEN(AQ378)=0)+(LEN(AR378)=0)+(LEN(AT378)=0)+(LEN(AU378)=0)+(LEN(AV378)=0)+(LEN(AX378)=0))</f>
        <v/>
      </c>
      <c r="BB378" s="115">
        <f>IF($B378="","",IF(AND(BA378=0,AZ378&gt;=1),"Complete","Incomplete"))</f>
        <v/>
      </c>
    </row>
    <row r="379" ht="15" customHeight="1" s="62">
      <c r="A379" s="81" t="n"/>
      <c r="B379" s="113" t="n"/>
      <c r="C379" s="81" t="n"/>
      <c r="D379" s="81" t="n"/>
      <c r="E379" s="81" t="n"/>
      <c r="F379" s="81" t="n"/>
      <c r="G379" s="81" t="n"/>
      <c r="H379" s="81" t="n"/>
      <c r="I379" s="81" t="n"/>
      <c r="J379" s="81" t="n"/>
      <c r="K379" s="81" t="n"/>
      <c r="L379" s="113" t="n"/>
      <c r="M379" s="81" t="n"/>
      <c r="N379" s="81" t="n"/>
      <c r="O379" s="81" t="n"/>
      <c r="P379" s="81" t="n"/>
      <c r="Q379" s="113" t="n"/>
      <c r="R379" s="113" t="n"/>
      <c r="S379" s="113" t="n"/>
      <c r="T379" s="81" t="n"/>
      <c r="U379" s="81" t="n"/>
      <c r="V379" s="113" t="n"/>
      <c r="W379" s="81" t="n"/>
      <c r="X379" s="81" t="n"/>
      <c r="Y379" s="81" t="n"/>
      <c r="Z379" s="81" t="n"/>
      <c r="AA379" s="81" t="n"/>
      <c r="AB379" s="81" t="n"/>
      <c r="AC379" s="81" t="n"/>
      <c r="AD379" s="81" t="n"/>
      <c r="AE379" s="81" t="n"/>
      <c r="AF379" s="81" t="n"/>
      <c r="AG379" s="81" t="n"/>
      <c r="AH379" s="113" t="n"/>
      <c r="AI379" s="81" t="n"/>
      <c r="AJ379" s="81" t="n"/>
      <c r="AK379" s="113" t="n"/>
      <c r="AL379" s="81" t="n"/>
      <c r="AM379" s="81" t="n"/>
      <c r="AN379" s="81" t="n"/>
      <c r="AO379" s="113" t="n"/>
      <c r="AP379" s="113" t="n"/>
      <c r="AQ379" s="81" t="n"/>
      <c r="AR379" s="113" t="n"/>
      <c r="AS379" s="113" t="n"/>
      <c r="AT379" s="114" t="n"/>
      <c r="AU379" s="81" t="n"/>
      <c r="AV379" s="114" t="n"/>
      <c r="AW379" s="114" t="n"/>
      <c r="AX379" s="81" t="n"/>
      <c r="AY379" s="113" t="n"/>
      <c r="AZ379" s="115">
        <f>IF($B379="","",COUNTIF(References!$A$4:$A$503,$A379))</f>
        <v/>
      </c>
      <c r="BA379" s="115">
        <f>IF($B379="","",(LEN(A379)=0)+(LEN(B379)=0)+(LEN(D379)=0)+(LEN(G379)=0)+(LEN(H379)=0)+(LEN(I379)=0)+(LEN(J379)=0)+(LEN(L379)=0)+(LEN(M379)=0)+(LEN(O379)=0)+(LEN(R379)=0)+(LEN(X379)=0)+(LEN(AI379)=0)+(LEN(AJ379)=0)+(LEN(AQ379)=0)+(LEN(AR379)=0)+(LEN(AT379)=0)+(LEN(AU379)=0)+(LEN(AV379)=0)+(LEN(AX379)=0))</f>
        <v/>
      </c>
      <c r="BB379" s="115">
        <f>IF($B379="","",IF(AND(BA379=0,AZ379&gt;=1),"Complete","Incomplete"))</f>
        <v/>
      </c>
    </row>
    <row r="380" ht="15" customHeight="1" s="62">
      <c r="A380" s="81" t="n"/>
      <c r="B380" s="113" t="n"/>
      <c r="C380" s="81" t="n"/>
      <c r="D380" s="81" t="n"/>
      <c r="E380" s="81" t="n"/>
      <c r="F380" s="81" t="n"/>
      <c r="G380" s="81" t="n"/>
      <c r="H380" s="81" t="n"/>
      <c r="I380" s="81" t="n"/>
      <c r="J380" s="81" t="n"/>
      <c r="K380" s="81" t="n"/>
      <c r="L380" s="113" t="n"/>
      <c r="M380" s="81" t="n"/>
      <c r="N380" s="81" t="n"/>
      <c r="O380" s="81" t="n"/>
      <c r="P380" s="81" t="n"/>
      <c r="Q380" s="113" t="n"/>
      <c r="R380" s="113" t="n"/>
      <c r="S380" s="113" t="n"/>
      <c r="T380" s="81" t="n"/>
      <c r="U380" s="81" t="n"/>
      <c r="V380" s="113" t="n"/>
      <c r="W380" s="81" t="n"/>
      <c r="X380" s="81" t="n"/>
      <c r="Y380" s="81" t="n"/>
      <c r="Z380" s="81" t="n"/>
      <c r="AA380" s="81" t="n"/>
      <c r="AB380" s="81" t="n"/>
      <c r="AC380" s="81" t="n"/>
      <c r="AD380" s="81" t="n"/>
      <c r="AE380" s="81" t="n"/>
      <c r="AF380" s="81" t="n"/>
      <c r="AG380" s="81" t="n"/>
      <c r="AH380" s="113" t="n"/>
      <c r="AI380" s="81" t="n"/>
      <c r="AJ380" s="81" t="n"/>
      <c r="AK380" s="113" t="n"/>
      <c r="AL380" s="81" t="n"/>
      <c r="AM380" s="81" t="n"/>
      <c r="AN380" s="81" t="n"/>
      <c r="AO380" s="113" t="n"/>
      <c r="AP380" s="113" t="n"/>
      <c r="AQ380" s="81" t="n"/>
      <c r="AR380" s="113" t="n"/>
      <c r="AS380" s="113" t="n"/>
      <c r="AT380" s="114" t="n"/>
      <c r="AU380" s="81" t="n"/>
      <c r="AV380" s="114" t="n"/>
      <c r="AW380" s="114" t="n"/>
      <c r="AX380" s="81" t="n"/>
      <c r="AY380" s="113" t="n"/>
      <c r="AZ380" s="115">
        <f>IF($B380="","",COUNTIF(References!$A$4:$A$503,$A380))</f>
        <v/>
      </c>
      <c r="BA380" s="115">
        <f>IF($B380="","",(LEN(A380)=0)+(LEN(B380)=0)+(LEN(D380)=0)+(LEN(G380)=0)+(LEN(H380)=0)+(LEN(I380)=0)+(LEN(J380)=0)+(LEN(L380)=0)+(LEN(M380)=0)+(LEN(O380)=0)+(LEN(R380)=0)+(LEN(X380)=0)+(LEN(AI380)=0)+(LEN(AJ380)=0)+(LEN(AQ380)=0)+(LEN(AR380)=0)+(LEN(AT380)=0)+(LEN(AU380)=0)+(LEN(AV380)=0)+(LEN(AX380)=0))</f>
        <v/>
      </c>
      <c r="BB380" s="115">
        <f>IF($B380="","",IF(AND(BA380=0,AZ380&gt;=1),"Complete","Incomplete"))</f>
        <v/>
      </c>
    </row>
    <row r="381" ht="15" customHeight="1" s="62">
      <c r="A381" s="81" t="n"/>
      <c r="B381" s="113" t="n"/>
      <c r="C381" s="81" t="n"/>
      <c r="D381" s="81" t="n"/>
      <c r="E381" s="81" t="n"/>
      <c r="F381" s="81" t="n"/>
      <c r="G381" s="81" t="n"/>
      <c r="H381" s="81" t="n"/>
      <c r="I381" s="81" t="n"/>
      <c r="J381" s="81" t="n"/>
      <c r="K381" s="81" t="n"/>
      <c r="L381" s="113" t="n"/>
      <c r="M381" s="81" t="n"/>
      <c r="N381" s="81" t="n"/>
      <c r="O381" s="81" t="n"/>
      <c r="P381" s="81" t="n"/>
      <c r="Q381" s="113" t="n"/>
      <c r="R381" s="113" t="n"/>
      <c r="S381" s="113" t="n"/>
      <c r="T381" s="81" t="n"/>
      <c r="U381" s="81" t="n"/>
      <c r="V381" s="113" t="n"/>
      <c r="W381" s="81" t="n"/>
      <c r="X381" s="81" t="n"/>
      <c r="Y381" s="81" t="n"/>
      <c r="Z381" s="81" t="n"/>
      <c r="AA381" s="81" t="n"/>
      <c r="AB381" s="81" t="n"/>
      <c r="AC381" s="81" t="n"/>
      <c r="AD381" s="81" t="n"/>
      <c r="AE381" s="81" t="n"/>
      <c r="AF381" s="81" t="n"/>
      <c r="AG381" s="81" t="n"/>
      <c r="AH381" s="113" t="n"/>
      <c r="AI381" s="81" t="n"/>
      <c r="AJ381" s="81" t="n"/>
      <c r="AK381" s="113" t="n"/>
      <c r="AL381" s="81" t="n"/>
      <c r="AM381" s="81" t="n"/>
      <c r="AN381" s="81" t="n"/>
      <c r="AO381" s="113" t="n"/>
      <c r="AP381" s="113" t="n"/>
      <c r="AQ381" s="81" t="n"/>
      <c r="AR381" s="113" t="n"/>
      <c r="AS381" s="113" t="n"/>
      <c r="AT381" s="114" t="n"/>
      <c r="AU381" s="81" t="n"/>
      <c r="AV381" s="114" t="n"/>
      <c r="AW381" s="114" t="n"/>
      <c r="AX381" s="81" t="n"/>
      <c r="AY381" s="113" t="n"/>
      <c r="AZ381" s="115">
        <f>IF($B381="","",COUNTIF(References!$A$4:$A$503,$A381))</f>
        <v/>
      </c>
      <c r="BA381" s="115">
        <f>IF($B381="","",(LEN(A381)=0)+(LEN(B381)=0)+(LEN(D381)=0)+(LEN(G381)=0)+(LEN(H381)=0)+(LEN(I381)=0)+(LEN(J381)=0)+(LEN(L381)=0)+(LEN(M381)=0)+(LEN(O381)=0)+(LEN(R381)=0)+(LEN(X381)=0)+(LEN(AI381)=0)+(LEN(AJ381)=0)+(LEN(AQ381)=0)+(LEN(AR381)=0)+(LEN(AT381)=0)+(LEN(AU381)=0)+(LEN(AV381)=0)+(LEN(AX381)=0))</f>
        <v/>
      </c>
      <c r="BB381" s="115">
        <f>IF($B381="","",IF(AND(BA381=0,AZ381&gt;=1),"Complete","Incomplete"))</f>
        <v/>
      </c>
    </row>
    <row r="382" ht="15" customHeight="1" s="62">
      <c r="A382" s="81" t="n"/>
      <c r="B382" s="113" t="n"/>
      <c r="C382" s="81" t="n"/>
      <c r="D382" s="81" t="n"/>
      <c r="E382" s="81" t="n"/>
      <c r="F382" s="81" t="n"/>
      <c r="G382" s="81" t="n"/>
      <c r="H382" s="81" t="n"/>
      <c r="I382" s="81" t="n"/>
      <c r="J382" s="81" t="n"/>
      <c r="K382" s="81" t="n"/>
      <c r="L382" s="113" t="n"/>
      <c r="M382" s="81" t="n"/>
      <c r="N382" s="81" t="n"/>
      <c r="O382" s="81" t="n"/>
      <c r="P382" s="81" t="n"/>
      <c r="Q382" s="113" t="n"/>
      <c r="R382" s="113" t="n"/>
      <c r="S382" s="113" t="n"/>
      <c r="T382" s="81" t="n"/>
      <c r="U382" s="81" t="n"/>
      <c r="V382" s="113" t="n"/>
      <c r="W382" s="81" t="n"/>
      <c r="X382" s="81" t="n"/>
      <c r="Y382" s="81" t="n"/>
      <c r="Z382" s="81" t="n"/>
      <c r="AA382" s="81" t="n"/>
      <c r="AB382" s="81" t="n"/>
      <c r="AC382" s="81" t="n"/>
      <c r="AD382" s="81" t="n"/>
      <c r="AE382" s="81" t="n"/>
      <c r="AF382" s="81" t="n"/>
      <c r="AG382" s="81" t="n"/>
      <c r="AH382" s="113" t="n"/>
      <c r="AI382" s="81" t="n"/>
      <c r="AJ382" s="81" t="n"/>
      <c r="AK382" s="113" t="n"/>
      <c r="AL382" s="81" t="n"/>
      <c r="AM382" s="81" t="n"/>
      <c r="AN382" s="81" t="n"/>
      <c r="AO382" s="113" t="n"/>
      <c r="AP382" s="113" t="n"/>
      <c r="AQ382" s="81" t="n"/>
      <c r="AR382" s="113" t="n"/>
      <c r="AS382" s="113" t="n"/>
      <c r="AT382" s="114" t="n"/>
      <c r="AU382" s="81" t="n"/>
      <c r="AV382" s="114" t="n"/>
      <c r="AW382" s="114" t="n"/>
      <c r="AX382" s="81" t="n"/>
      <c r="AY382" s="113" t="n"/>
      <c r="AZ382" s="115">
        <f>IF($B382="","",COUNTIF(References!$A$4:$A$503,$A382))</f>
        <v/>
      </c>
      <c r="BA382" s="115">
        <f>IF($B382="","",(LEN(A382)=0)+(LEN(B382)=0)+(LEN(D382)=0)+(LEN(G382)=0)+(LEN(H382)=0)+(LEN(I382)=0)+(LEN(J382)=0)+(LEN(L382)=0)+(LEN(M382)=0)+(LEN(O382)=0)+(LEN(R382)=0)+(LEN(X382)=0)+(LEN(AI382)=0)+(LEN(AJ382)=0)+(LEN(AQ382)=0)+(LEN(AR382)=0)+(LEN(AT382)=0)+(LEN(AU382)=0)+(LEN(AV382)=0)+(LEN(AX382)=0))</f>
        <v/>
      </c>
      <c r="BB382" s="115">
        <f>IF($B382="","",IF(AND(BA382=0,AZ382&gt;=1),"Complete","Incomplete"))</f>
        <v/>
      </c>
    </row>
    <row r="383" ht="15" customHeight="1" s="62">
      <c r="A383" s="81" t="n"/>
      <c r="B383" s="113" t="n"/>
      <c r="C383" s="81" t="n"/>
      <c r="D383" s="81" t="n"/>
      <c r="E383" s="81" t="n"/>
      <c r="F383" s="81" t="n"/>
      <c r="G383" s="81" t="n"/>
      <c r="H383" s="81" t="n"/>
      <c r="I383" s="81" t="n"/>
      <c r="J383" s="81" t="n"/>
      <c r="K383" s="81" t="n"/>
      <c r="L383" s="113" t="n"/>
      <c r="M383" s="81" t="n"/>
      <c r="N383" s="81" t="n"/>
      <c r="O383" s="81" t="n"/>
      <c r="P383" s="81" t="n"/>
      <c r="Q383" s="113" t="n"/>
      <c r="R383" s="113" t="n"/>
      <c r="S383" s="113" t="n"/>
      <c r="T383" s="81" t="n"/>
      <c r="U383" s="81" t="n"/>
      <c r="V383" s="113" t="n"/>
      <c r="W383" s="81" t="n"/>
      <c r="X383" s="81" t="n"/>
      <c r="Y383" s="81" t="n"/>
      <c r="Z383" s="81" t="n"/>
      <c r="AA383" s="81" t="n"/>
      <c r="AB383" s="81" t="n"/>
      <c r="AC383" s="81" t="n"/>
      <c r="AD383" s="81" t="n"/>
      <c r="AE383" s="81" t="n"/>
      <c r="AF383" s="81" t="n"/>
      <c r="AG383" s="81" t="n"/>
      <c r="AH383" s="113" t="n"/>
      <c r="AI383" s="81" t="n"/>
      <c r="AJ383" s="81" t="n"/>
      <c r="AK383" s="113" t="n"/>
      <c r="AL383" s="81" t="n"/>
      <c r="AM383" s="81" t="n"/>
      <c r="AN383" s="81" t="n"/>
      <c r="AO383" s="113" t="n"/>
      <c r="AP383" s="113" t="n"/>
      <c r="AQ383" s="81" t="n"/>
      <c r="AR383" s="113" t="n"/>
      <c r="AS383" s="113" t="n"/>
      <c r="AT383" s="114" t="n"/>
      <c r="AU383" s="81" t="n"/>
      <c r="AV383" s="114" t="n"/>
      <c r="AW383" s="114" t="n"/>
      <c r="AX383" s="81" t="n"/>
      <c r="AY383" s="113" t="n"/>
      <c r="AZ383" s="115">
        <f>IF($B383="","",COUNTIF(References!$A$4:$A$503,$A383))</f>
        <v/>
      </c>
      <c r="BA383" s="115">
        <f>IF($B383="","",(LEN(A383)=0)+(LEN(B383)=0)+(LEN(D383)=0)+(LEN(G383)=0)+(LEN(H383)=0)+(LEN(I383)=0)+(LEN(J383)=0)+(LEN(L383)=0)+(LEN(M383)=0)+(LEN(O383)=0)+(LEN(R383)=0)+(LEN(X383)=0)+(LEN(AI383)=0)+(LEN(AJ383)=0)+(LEN(AQ383)=0)+(LEN(AR383)=0)+(LEN(AT383)=0)+(LEN(AU383)=0)+(LEN(AV383)=0)+(LEN(AX383)=0))</f>
        <v/>
      </c>
      <c r="BB383" s="115">
        <f>IF($B383="","",IF(AND(BA383=0,AZ383&gt;=1),"Complete","Incomplete"))</f>
        <v/>
      </c>
    </row>
    <row r="384" ht="15" customHeight="1" s="62">
      <c r="A384" s="81" t="n"/>
      <c r="B384" s="113" t="n"/>
      <c r="C384" s="81" t="n"/>
      <c r="D384" s="81" t="n"/>
      <c r="E384" s="81" t="n"/>
      <c r="F384" s="81" t="n"/>
      <c r="G384" s="81" t="n"/>
      <c r="H384" s="81" t="n"/>
      <c r="I384" s="81" t="n"/>
      <c r="J384" s="81" t="n"/>
      <c r="K384" s="81" t="n"/>
      <c r="L384" s="113" t="n"/>
      <c r="M384" s="81" t="n"/>
      <c r="N384" s="81" t="n"/>
      <c r="O384" s="81" t="n"/>
      <c r="P384" s="81" t="n"/>
      <c r="Q384" s="113" t="n"/>
      <c r="R384" s="113" t="n"/>
      <c r="S384" s="113" t="n"/>
      <c r="T384" s="81" t="n"/>
      <c r="U384" s="81" t="n"/>
      <c r="V384" s="113" t="n"/>
      <c r="W384" s="81" t="n"/>
      <c r="X384" s="81" t="n"/>
      <c r="Y384" s="81" t="n"/>
      <c r="Z384" s="81" t="n"/>
      <c r="AA384" s="81" t="n"/>
      <c r="AB384" s="81" t="n"/>
      <c r="AC384" s="81" t="n"/>
      <c r="AD384" s="81" t="n"/>
      <c r="AE384" s="81" t="n"/>
      <c r="AF384" s="81" t="n"/>
      <c r="AG384" s="81" t="n"/>
      <c r="AH384" s="113" t="n"/>
      <c r="AI384" s="81" t="n"/>
      <c r="AJ384" s="81" t="n"/>
      <c r="AK384" s="113" t="n"/>
      <c r="AL384" s="81" t="n"/>
      <c r="AM384" s="81" t="n"/>
      <c r="AN384" s="81" t="n"/>
      <c r="AO384" s="113" t="n"/>
      <c r="AP384" s="113" t="n"/>
      <c r="AQ384" s="81" t="n"/>
      <c r="AR384" s="113" t="n"/>
      <c r="AS384" s="113" t="n"/>
      <c r="AT384" s="114" t="n"/>
      <c r="AU384" s="81" t="n"/>
      <c r="AV384" s="114" t="n"/>
      <c r="AW384" s="114" t="n"/>
      <c r="AX384" s="81" t="n"/>
      <c r="AY384" s="113" t="n"/>
      <c r="AZ384" s="115">
        <f>IF($B384="","",COUNTIF(References!$A$4:$A$503,$A384))</f>
        <v/>
      </c>
      <c r="BA384" s="115">
        <f>IF($B384="","",(LEN(A384)=0)+(LEN(B384)=0)+(LEN(D384)=0)+(LEN(G384)=0)+(LEN(H384)=0)+(LEN(I384)=0)+(LEN(J384)=0)+(LEN(L384)=0)+(LEN(M384)=0)+(LEN(O384)=0)+(LEN(R384)=0)+(LEN(X384)=0)+(LEN(AI384)=0)+(LEN(AJ384)=0)+(LEN(AQ384)=0)+(LEN(AR384)=0)+(LEN(AT384)=0)+(LEN(AU384)=0)+(LEN(AV384)=0)+(LEN(AX384)=0))</f>
        <v/>
      </c>
      <c r="BB384" s="115">
        <f>IF($B384="","",IF(AND(BA384=0,AZ384&gt;=1),"Complete","Incomplete"))</f>
        <v/>
      </c>
    </row>
    <row r="385" ht="15" customHeight="1" s="62">
      <c r="A385" s="81" t="n"/>
      <c r="B385" s="113" t="n"/>
      <c r="C385" s="81" t="n"/>
      <c r="D385" s="81" t="n"/>
      <c r="E385" s="81" t="n"/>
      <c r="F385" s="81" t="n"/>
      <c r="G385" s="81" t="n"/>
      <c r="H385" s="81" t="n"/>
      <c r="I385" s="81" t="n"/>
      <c r="J385" s="81" t="n"/>
      <c r="K385" s="81" t="n"/>
      <c r="L385" s="113" t="n"/>
      <c r="M385" s="81" t="n"/>
      <c r="N385" s="81" t="n"/>
      <c r="O385" s="81" t="n"/>
      <c r="P385" s="81" t="n"/>
      <c r="Q385" s="113" t="n"/>
      <c r="R385" s="113" t="n"/>
      <c r="S385" s="113" t="n"/>
      <c r="T385" s="81" t="n"/>
      <c r="U385" s="81" t="n"/>
      <c r="V385" s="113" t="n"/>
      <c r="W385" s="81" t="n"/>
      <c r="X385" s="81" t="n"/>
      <c r="Y385" s="81" t="n"/>
      <c r="Z385" s="81" t="n"/>
      <c r="AA385" s="81" t="n"/>
      <c r="AB385" s="81" t="n"/>
      <c r="AC385" s="81" t="n"/>
      <c r="AD385" s="81" t="n"/>
      <c r="AE385" s="81" t="n"/>
      <c r="AF385" s="81" t="n"/>
      <c r="AG385" s="81" t="n"/>
      <c r="AH385" s="113" t="n"/>
      <c r="AI385" s="81" t="n"/>
      <c r="AJ385" s="81" t="n"/>
      <c r="AK385" s="113" t="n"/>
      <c r="AL385" s="81" t="n"/>
      <c r="AM385" s="81" t="n"/>
      <c r="AN385" s="81" t="n"/>
      <c r="AO385" s="113" t="n"/>
      <c r="AP385" s="113" t="n"/>
      <c r="AQ385" s="81" t="n"/>
      <c r="AR385" s="113" t="n"/>
      <c r="AS385" s="113" t="n"/>
      <c r="AT385" s="114" t="n"/>
      <c r="AU385" s="81" t="n"/>
      <c r="AV385" s="114" t="n"/>
      <c r="AW385" s="114" t="n"/>
      <c r="AX385" s="81" t="n"/>
      <c r="AY385" s="113" t="n"/>
      <c r="AZ385" s="115">
        <f>IF($B385="","",COUNTIF(References!$A$4:$A$503,$A385))</f>
        <v/>
      </c>
      <c r="BA385" s="115">
        <f>IF($B385="","",(LEN(A385)=0)+(LEN(B385)=0)+(LEN(D385)=0)+(LEN(G385)=0)+(LEN(H385)=0)+(LEN(I385)=0)+(LEN(J385)=0)+(LEN(L385)=0)+(LEN(M385)=0)+(LEN(O385)=0)+(LEN(R385)=0)+(LEN(X385)=0)+(LEN(AI385)=0)+(LEN(AJ385)=0)+(LEN(AQ385)=0)+(LEN(AR385)=0)+(LEN(AT385)=0)+(LEN(AU385)=0)+(LEN(AV385)=0)+(LEN(AX385)=0))</f>
        <v/>
      </c>
      <c r="BB385" s="115">
        <f>IF($B385="","",IF(AND(BA385=0,AZ385&gt;=1),"Complete","Incomplete"))</f>
        <v/>
      </c>
    </row>
    <row r="386" ht="15" customHeight="1" s="62">
      <c r="A386" s="81" t="n"/>
      <c r="B386" s="113" t="n"/>
      <c r="C386" s="81" t="n"/>
      <c r="D386" s="81" t="n"/>
      <c r="E386" s="81" t="n"/>
      <c r="F386" s="81" t="n"/>
      <c r="G386" s="81" t="n"/>
      <c r="H386" s="81" t="n"/>
      <c r="I386" s="81" t="n"/>
      <c r="J386" s="81" t="n"/>
      <c r="K386" s="81" t="n"/>
      <c r="L386" s="113" t="n"/>
      <c r="M386" s="81" t="n"/>
      <c r="N386" s="81" t="n"/>
      <c r="O386" s="81" t="n"/>
      <c r="P386" s="81" t="n"/>
      <c r="Q386" s="113" t="n"/>
      <c r="R386" s="113" t="n"/>
      <c r="S386" s="113" t="n"/>
      <c r="T386" s="81" t="n"/>
      <c r="U386" s="81" t="n"/>
      <c r="V386" s="113" t="n"/>
      <c r="W386" s="81" t="n"/>
      <c r="X386" s="81" t="n"/>
      <c r="Y386" s="81" t="n"/>
      <c r="Z386" s="81" t="n"/>
      <c r="AA386" s="81" t="n"/>
      <c r="AB386" s="81" t="n"/>
      <c r="AC386" s="81" t="n"/>
      <c r="AD386" s="81" t="n"/>
      <c r="AE386" s="81" t="n"/>
      <c r="AF386" s="81" t="n"/>
      <c r="AG386" s="81" t="n"/>
      <c r="AH386" s="113" t="n"/>
      <c r="AI386" s="81" t="n"/>
      <c r="AJ386" s="81" t="n"/>
      <c r="AK386" s="113" t="n"/>
      <c r="AL386" s="81" t="n"/>
      <c r="AM386" s="81" t="n"/>
      <c r="AN386" s="81" t="n"/>
      <c r="AO386" s="113" t="n"/>
      <c r="AP386" s="113" t="n"/>
      <c r="AQ386" s="81" t="n"/>
      <c r="AR386" s="113" t="n"/>
      <c r="AS386" s="113" t="n"/>
      <c r="AT386" s="114" t="n"/>
      <c r="AU386" s="81" t="n"/>
      <c r="AV386" s="114" t="n"/>
      <c r="AW386" s="114" t="n"/>
      <c r="AX386" s="81" t="n"/>
      <c r="AY386" s="113" t="n"/>
      <c r="AZ386" s="115">
        <f>IF($B386="","",COUNTIF(References!$A$4:$A$503,$A386))</f>
        <v/>
      </c>
      <c r="BA386" s="115">
        <f>IF($B386="","",(LEN(A386)=0)+(LEN(B386)=0)+(LEN(D386)=0)+(LEN(G386)=0)+(LEN(H386)=0)+(LEN(I386)=0)+(LEN(J386)=0)+(LEN(L386)=0)+(LEN(M386)=0)+(LEN(O386)=0)+(LEN(R386)=0)+(LEN(X386)=0)+(LEN(AI386)=0)+(LEN(AJ386)=0)+(LEN(AQ386)=0)+(LEN(AR386)=0)+(LEN(AT386)=0)+(LEN(AU386)=0)+(LEN(AV386)=0)+(LEN(AX386)=0))</f>
        <v/>
      </c>
      <c r="BB386" s="115">
        <f>IF($B386="","",IF(AND(BA386=0,AZ386&gt;=1),"Complete","Incomplete"))</f>
        <v/>
      </c>
    </row>
    <row r="387" ht="15" customHeight="1" s="62">
      <c r="A387" s="81" t="n"/>
      <c r="B387" s="113" t="n"/>
      <c r="C387" s="81" t="n"/>
      <c r="D387" s="81" t="n"/>
      <c r="E387" s="81" t="n"/>
      <c r="F387" s="81" t="n"/>
      <c r="G387" s="81" t="n"/>
      <c r="H387" s="81" t="n"/>
      <c r="I387" s="81" t="n"/>
      <c r="J387" s="81" t="n"/>
      <c r="K387" s="81" t="n"/>
      <c r="L387" s="113" t="n"/>
      <c r="M387" s="81" t="n"/>
      <c r="N387" s="81" t="n"/>
      <c r="O387" s="81" t="n"/>
      <c r="P387" s="81" t="n"/>
      <c r="Q387" s="113" t="n"/>
      <c r="R387" s="113" t="n"/>
      <c r="S387" s="113" t="n"/>
      <c r="T387" s="81" t="n"/>
      <c r="U387" s="81" t="n"/>
      <c r="V387" s="113" t="n"/>
      <c r="W387" s="81" t="n"/>
      <c r="X387" s="81" t="n"/>
      <c r="Y387" s="81" t="n"/>
      <c r="Z387" s="81" t="n"/>
      <c r="AA387" s="81" t="n"/>
      <c r="AB387" s="81" t="n"/>
      <c r="AC387" s="81" t="n"/>
      <c r="AD387" s="81" t="n"/>
      <c r="AE387" s="81" t="n"/>
      <c r="AF387" s="81" t="n"/>
      <c r="AG387" s="81" t="n"/>
      <c r="AH387" s="113" t="n"/>
      <c r="AI387" s="81" t="n"/>
      <c r="AJ387" s="81" t="n"/>
      <c r="AK387" s="113" t="n"/>
      <c r="AL387" s="81" t="n"/>
      <c r="AM387" s="81" t="n"/>
      <c r="AN387" s="81" t="n"/>
      <c r="AO387" s="113" t="n"/>
      <c r="AP387" s="113" t="n"/>
      <c r="AQ387" s="81" t="n"/>
      <c r="AR387" s="113" t="n"/>
      <c r="AS387" s="113" t="n"/>
      <c r="AT387" s="114" t="n"/>
      <c r="AU387" s="81" t="n"/>
      <c r="AV387" s="114" t="n"/>
      <c r="AW387" s="114" t="n"/>
      <c r="AX387" s="81" t="n"/>
      <c r="AY387" s="113" t="n"/>
      <c r="AZ387" s="115">
        <f>IF($B387="","",COUNTIF(References!$A$4:$A$503,$A387))</f>
        <v/>
      </c>
      <c r="BA387" s="115">
        <f>IF($B387="","",(LEN(A387)=0)+(LEN(B387)=0)+(LEN(D387)=0)+(LEN(G387)=0)+(LEN(H387)=0)+(LEN(I387)=0)+(LEN(J387)=0)+(LEN(L387)=0)+(LEN(M387)=0)+(LEN(O387)=0)+(LEN(R387)=0)+(LEN(X387)=0)+(LEN(AI387)=0)+(LEN(AJ387)=0)+(LEN(AQ387)=0)+(LEN(AR387)=0)+(LEN(AT387)=0)+(LEN(AU387)=0)+(LEN(AV387)=0)+(LEN(AX387)=0))</f>
        <v/>
      </c>
      <c r="BB387" s="115">
        <f>IF($B387="","",IF(AND(BA387=0,AZ387&gt;=1),"Complete","Incomplete"))</f>
        <v/>
      </c>
    </row>
    <row r="388" ht="15" customHeight="1" s="62">
      <c r="A388" s="81" t="n"/>
      <c r="B388" s="113" t="n"/>
      <c r="C388" s="81" t="n"/>
      <c r="D388" s="81" t="n"/>
      <c r="E388" s="81" t="n"/>
      <c r="F388" s="81" t="n"/>
      <c r="G388" s="81" t="n"/>
      <c r="H388" s="81" t="n"/>
      <c r="I388" s="81" t="n"/>
      <c r="J388" s="81" t="n"/>
      <c r="K388" s="81" t="n"/>
      <c r="L388" s="113" t="n"/>
      <c r="M388" s="81" t="n"/>
      <c r="N388" s="81" t="n"/>
      <c r="O388" s="81" t="n"/>
      <c r="P388" s="81" t="n"/>
      <c r="Q388" s="113" t="n"/>
      <c r="R388" s="113" t="n"/>
      <c r="S388" s="113" t="n"/>
      <c r="T388" s="81" t="n"/>
      <c r="U388" s="81" t="n"/>
      <c r="V388" s="113" t="n"/>
      <c r="W388" s="81" t="n"/>
      <c r="X388" s="81" t="n"/>
      <c r="Y388" s="81" t="n"/>
      <c r="Z388" s="81" t="n"/>
      <c r="AA388" s="81" t="n"/>
      <c r="AB388" s="81" t="n"/>
      <c r="AC388" s="81" t="n"/>
      <c r="AD388" s="81" t="n"/>
      <c r="AE388" s="81" t="n"/>
      <c r="AF388" s="81" t="n"/>
      <c r="AG388" s="81" t="n"/>
      <c r="AH388" s="113" t="n"/>
      <c r="AI388" s="81" t="n"/>
      <c r="AJ388" s="81" t="n"/>
      <c r="AK388" s="113" t="n"/>
      <c r="AL388" s="81" t="n"/>
      <c r="AM388" s="81" t="n"/>
      <c r="AN388" s="81" t="n"/>
      <c r="AO388" s="113" t="n"/>
      <c r="AP388" s="113" t="n"/>
      <c r="AQ388" s="81" t="n"/>
      <c r="AR388" s="113" t="n"/>
      <c r="AS388" s="113" t="n"/>
      <c r="AT388" s="114" t="n"/>
      <c r="AU388" s="81" t="n"/>
      <c r="AV388" s="114" t="n"/>
      <c r="AW388" s="114" t="n"/>
      <c r="AX388" s="81" t="n"/>
      <c r="AY388" s="113" t="n"/>
      <c r="AZ388" s="115">
        <f>IF($B388="","",COUNTIF(References!$A$4:$A$503,$A388))</f>
        <v/>
      </c>
      <c r="BA388" s="115">
        <f>IF($B388="","",(LEN(A388)=0)+(LEN(B388)=0)+(LEN(D388)=0)+(LEN(G388)=0)+(LEN(H388)=0)+(LEN(I388)=0)+(LEN(J388)=0)+(LEN(L388)=0)+(LEN(M388)=0)+(LEN(O388)=0)+(LEN(R388)=0)+(LEN(X388)=0)+(LEN(AI388)=0)+(LEN(AJ388)=0)+(LEN(AQ388)=0)+(LEN(AR388)=0)+(LEN(AT388)=0)+(LEN(AU388)=0)+(LEN(AV388)=0)+(LEN(AX388)=0))</f>
        <v/>
      </c>
      <c r="BB388" s="115">
        <f>IF($B388="","",IF(AND(BA388=0,AZ388&gt;=1),"Complete","Incomplete"))</f>
        <v/>
      </c>
    </row>
    <row r="389" ht="15" customHeight="1" s="62">
      <c r="A389" s="81" t="n"/>
      <c r="B389" s="113" t="n"/>
      <c r="C389" s="81" t="n"/>
      <c r="D389" s="81" t="n"/>
      <c r="E389" s="81" t="n"/>
      <c r="F389" s="81" t="n"/>
      <c r="G389" s="81" t="n"/>
      <c r="H389" s="81" t="n"/>
      <c r="I389" s="81" t="n"/>
      <c r="J389" s="81" t="n"/>
      <c r="K389" s="81" t="n"/>
      <c r="L389" s="113" t="n"/>
      <c r="M389" s="81" t="n"/>
      <c r="N389" s="81" t="n"/>
      <c r="O389" s="81" t="n"/>
      <c r="P389" s="81" t="n"/>
      <c r="Q389" s="113" t="n"/>
      <c r="R389" s="113" t="n"/>
      <c r="S389" s="113" t="n"/>
      <c r="T389" s="81" t="n"/>
      <c r="U389" s="81" t="n"/>
      <c r="V389" s="113" t="n"/>
      <c r="W389" s="81" t="n"/>
      <c r="X389" s="81" t="n"/>
      <c r="Y389" s="81" t="n"/>
      <c r="Z389" s="81" t="n"/>
      <c r="AA389" s="81" t="n"/>
      <c r="AB389" s="81" t="n"/>
      <c r="AC389" s="81" t="n"/>
      <c r="AD389" s="81" t="n"/>
      <c r="AE389" s="81" t="n"/>
      <c r="AF389" s="81" t="n"/>
      <c r="AG389" s="81" t="n"/>
      <c r="AH389" s="113" t="n"/>
      <c r="AI389" s="81" t="n"/>
      <c r="AJ389" s="81" t="n"/>
      <c r="AK389" s="113" t="n"/>
      <c r="AL389" s="81" t="n"/>
      <c r="AM389" s="81" t="n"/>
      <c r="AN389" s="81" t="n"/>
      <c r="AO389" s="113" t="n"/>
      <c r="AP389" s="113" t="n"/>
      <c r="AQ389" s="81" t="n"/>
      <c r="AR389" s="113" t="n"/>
      <c r="AS389" s="113" t="n"/>
      <c r="AT389" s="114" t="n"/>
      <c r="AU389" s="81" t="n"/>
      <c r="AV389" s="114" t="n"/>
      <c r="AW389" s="114" t="n"/>
      <c r="AX389" s="81" t="n"/>
      <c r="AY389" s="113" t="n"/>
      <c r="AZ389" s="115">
        <f>IF($B389="","",COUNTIF(References!$A$4:$A$503,$A389))</f>
        <v/>
      </c>
      <c r="BA389" s="115">
        <f>IF($B389="","",(LEN(A389)=0)+(LEN(B389)=0)+(LEN(D389)=0)+(LEN(G389)=0)+(LEN(H389)=0)+(LEN(I389)=0)+(LEN(J389)=0)+(LEN(L389)=0)+(LEN(M389)=0)+(LEN(O389)=0)+(LEN(R389)=0)+(LEN(X389)=0)+(LEN(AI389)=0)+(LEN(AJ389)=0)+(LEN(AQ389)=0)+(LEN(AR389)=0)+(LEN(AT389)=0)+(LEN(AU389)=0)+(LEN(AV389)=0)+(LEN(AX389)=0))</f>
        <v/>
      </c>
      <c r="BB389" s="115">
        <f>IF($B389="","",IF(AND(BA389=0,AZ389&gt;=1),"Complete","Incomplete"))</f>
        <v/>
      </c>
    </row>
    <row r="390" ht="15" customHeight="1" s="62">
      <c r="A390" s="81" t="n"/>
      <c r="B390" s="113" t="n"/>
      <c r="C390" s="81" t="n"/>
      <c r="D390" s="81" t="n"/>
      <c r="E390" s="81" t="n"/>
      <c r="F390" s="81" t="n"/>
      <c r="G390" s="81" t="n"/>
      <c r="H390" s="81" t="n"/>
      <c r="I390" s="81" t="n"/>
      <c r="J390" s="81" t="n"/>
      <c r="K390" s="81" t="n"/>
      <c r="L390" s="113" t="n"/>
      <c r="M390" s="81" t="n"/>
      <c r="N390" s="81" t="n"/>
      <c r="O390" s="81" t="n"/>
      <c r="P390" s="81" t="n"/>
      <c r="Q390" s="113" t="n"/>
      <c r="R390" s="113" t="n"/>
      <c r="S390" s="113" t="n"/>
      <c r="T390" s="81" t="n"/>
      <c r="U390" s="81" t="n"/>
      <c r="V390" s="113" t="n"/>
      <c r="W390" s="81" t="n"/>
      <c r="X390" s="81" t="n"/>
      <c r="Y390" s="81" t="n"/>
      <c r="Z390" s="81" t="n"/>
      <c r="AA390" s="81" t="n"/>
      <c r="AB390" s="81" t="n"/>
      <c r="AC390" s="81" t="n"/>
      <c r="AD390" s="81" t="n"/>
      <c r="AE390" s="81" t="n"/>
      <c r="AF390" s="81" t="n"/>
      <c r="AG390" s="81" t="n"/>
      <c r="AH390" s="113" t="n"/>
      <c r="AI390" s="81" t="n"/>
      <c r="AJ390" s="81" t="n"/>
      <c r="AK390" s="113" t="n"/>
      <c r="AL390" s="81" t="n"/>
      <c r="AM390" s="81" t="n"/>
      <c r="AN390" s="81" t="n"/>
      <c r="AO390" s="113" t="n"/>
      <c r="AP390" s="113" t="n"/>
      <c r="AQ390" s="81" t="n"/>
      <c r="AR390" s="113" t="n"/>
      <c r="AS390" s="113" t="n"/>
      <c r="AT390" s="114" t="n"/>
      <c r="AU390" s="81" t="n"/>
      <c r="AV390" s="114" t="n"/>
      <c r="AW390" s="114" t="n"/>
      <c r="AX390" s="81" t="n"/>
      <c r="AY390" s="113" t="n"/>
      <c r="AZ390" s="115">
        <f>IF($B390="","",COUNTIF(References!$A$4:$A$503,$A390))</f>
        <v/>
      </c>
      <c r="BA390" s="115">
        <f>IF($B390="","",(LEN(A390)=0)+(LEN(B390)=0)+(LEN(D390)=0)+(LEN(G390)=0)+(LEN(H390)=0)+(LEN(I390)=0)+(LEN(J390)=0)+(LEN(L390)=0)+(LEN(M390)=0)+(LEN(O390)=0)+(LEN(R390)=0)+(LEN(X390)=0)+(LEN(AI390)=0)+(LEN(AJ390)=0)+(LEN(AQ390)=0)+(LEN(AR390)=0)+(LEN(AT390)=0)+(LEN(AU390)=0)+(LEN(AV390)=0)+(LEN(AX390)=0))</f>
        <v/>
      </c>
      <c r="BB390" s="115">
        <f>IF($B390="","",IF(AND(BA390=0,AZ390&gt;=1),"Complete","Incomplete"))</f>
        <v/>
      </c>
    </row>
    <row r="391" ht="15" customHeight="1" s="62">
      <c r="A391" s="81" t="n"/>
      <c r="B391" s="113" t="n"/>
      <c r="C391" s="81" t="n"/>
      <c r="D391" s="81" t="n"/>
      <c r="E391" s="81" t="n"/>
      <c r="F391" s="81" t="n"/>
      <c r="G391" s="81" t="n"/>
      <c r="H391" s="81" t="n"/>
      <c r="I391" s="81" t="n"/>
      <c r="J391" s="81" t="n"/>
      <c r="K391" s="81" t="n"/>
      <c r="L391" s="113" t="n"/>
      <c r="M391" s="81" t="n"/>
      <c r="N391" s="81" t="n"/>
      <c r="O391" s="81" t="n"/>
      <c r="P391" s="81" t="n"/>
      <c r="Q391" s="113" t="n"/>
      <c r="R391" s="113" t="n"/>
      <c r="S391" s="113" t="n"/>
      <c r="T391" s="81" t="n"/>
      <c r="U391" s="81" t="n"/>
      <c r="V391" s="113" t="n"/>
      <c r="W391" s="81" t="n"/>
      <c r="X391" s="81" t="n"/>
      <c r="Y391" s="81" t="n"/>
      <c r="Z391" s="81" t="n"/>
      <c r="AA391" s="81" t="n"/>
      <c r="AB391" s="81" t="n"/>
      <c r="AC391" s="81" t="n"/>
      <c r="AD391" s="81" t="n"/>
      <c r="AE391" s="81" t="n"/>
      <c r="AF391" s="81" t="n"/>
      <c r="AG391" s="81" t="n"/>
      <c r="AH391" s="113" t="n"/>
      <c r="AI391" s="81" t="n"/>
      <c r="AJ391" s="81" t="n"/>
      <c r="AK391" s="113" t="n"/>
      <c r="AL391" s="81" t="n"/>
      <c r="AM391" s="81" t="n"/>
      <c r="AN391" s="81" t="n"/>
      <c r="AO391" s="113" t="n"/>
      <c r="AP391" s="113" t="n"/>
      <c r="AQ391" s="81" t="n"/>
      <c r="AR391" s="113" t="n"/>
      <c r="AS391" s="113" t="n"/>
      <c r="AT391" s="114" t="n"/>
      <c r="AU391" s="81" t="n"/>
      <c r="AV391" s="114" t="n"/>
      <c r="AW391" s="114" t="n"/>
      <c r="AX391" s="81" t="n"/>
      <c r="AY391" s="113" t="n"/>
      <c r="AZ391" s="115">
        <f>IF($B391="","",COUNTIF(References!$A$4:$A$503,$A391))</f>
        <v/>
      </c>
      <c r="BA391" s="115">
        <f>IF($B391="","",(LEN(A391)=0)+(LEN(B391)=0)+(LEN(D391)=0)+(LEN(G391)=0)+(LEN(H391)=0)+(LEN(I391)=0)+(LEN(J391)=0)+(LEN(L391)=0)+(LEN(M391)=0)+(LEN(O391)=0)+(LEN(R391)=0)+(LEN(X391)=0)+(LEN(AI391)=0)+(LEN(AJ391)=0)+(LEN(AQ391)=0)+(LEN(AR391)=0)+(LEN(AT391)=0)+(LEN(AU391)=0)+(LEN(AV391)=0)+(LEN(AX391)=0))</f>
        <v/>
      </c>
      <c r="BB391" s="115">
        <f>IF($B391="","",IF(AND(BA391=0,AZ391&gt;=1),"Complete","Incomplete"))</f>
        <v/>
      </c>
    </row>
    <row r="392" ht="15" customHeight="1" s="62">
      <c r="A392" s="81" t="n"/>
      <c r="B392" s="113" t="n"/>
      <c r="C392" s="81" t="n"/>
      <c r="D392" s="81" t="n"/>
      <c r="E392" s="81" t="n"/>
      <c r="F392" s="81" t="n"/>
      <c r="G392" s="81" t="n"/>
      <c r="H392" s="81" t="n"/>
      <c r="I392" s="81" t="n"/>
      <c r="J392" s="81" t="n"/>
      <c r="K392" s="81" t="n"/>
      <c r="L392" s="113" t="n"/>
      <c r="M392" s="81" t="n"/>
      <c r="N392" s="81" t="n"/>
      <c r="O392" s="81" t="n"/>
      <c r="P392" s="81" t="n"/>
      <c r="Q392" s="113" t="n"/>
      <c r="R392" s="113" t="n"/>
      <c r="S392" s="113" t="n"/>
      <c r="T392" s="81" t="n"/>
      <c r="U392" s="81" t="n"/>
      <c r="V392" s="113" t="n"/>
      <c r="W392" s="81" t="n"/>
      <c r="X392" s="81" t="n"/>
      <c r="Y392" s="81" t="n"/>
      <c r="Z392" s="81" t="n"/>
      <c r="AA392" s="81" t="n"/>
      <c r="AB392" s="81" t="n"/>
      <c r="AC392" s="81" t="n"/>
      <c r="AD392" s="81" t="n"/>
      <c r="AE392" s="81" t="n"/>
      <c r="AF392" s="81" t="n"/>
      <c r="AG392" s="81" t="n"/>
      <c r="AH392" s="113" t="n"/>
      <c r="AI392" s="81" t="n"/>
      <c r="AJ392" s="81" t="n"/>
      <c r="AK392" s="113" t="n"/>
      <c r="AL392" s="81" t="n"/>
      <c r="AM392" s="81" t="n"/>
      <c r="AN392" s="81" t="n"/>
      <c r="AO392" s="113" t="n"/>
      <c r="AP392" s="113" t="n"/>
      <c r="AQ392" s="81" t="n"/>
      <c r="AR392" s="113" t="n"/>
      <c r="AS392" s="113" t="n"/>
      <c r="AT392" s="114" t="n"/>
      <c r="AU392" s="81" t="n"/>
      <c r="AV392" s="114" t="n"/>
      <c r="AW392" s="114" t="n"/>
      <c r="AX392" s="81" t="n"/>
      <c r="AY392" s="113" t="n"/>
      <c r="AZ392" s="115">
        <f>IF($B392="","",COUNTIF(References!$A$4:$A$503,$A392))</f>
        <v/>
      </c>
      <c r="BA392" s="115">
        <f>IF($B392="","",(LEN(A392)=0)+(LEN(B392)=0)+(LEN(D392)=0)+(LEN(G392)=0)+(LEN(H392)=0)+(LEN(I392)=0)+(LEN(J392)=0)+(LEN(L392)=0)+(LEN(M392)=0)+(LEN(O392)=0)+(LEN(R392)=0)+(LEN(X392)=0)+(LEN(AI392)=0)+(LEN(AJ392)=0)+(LEN(AQ392)=0)+(LEN(AR392)=0)+(LEN(AT392)=0)+(LEN(AU392)=0)+(LEN(AV392)=0)+(LEN(AX392)=0))</f>
        <v/>
      </c>
      <c r="BB392" s="115">
        <f>IF($B392="","",IF(AND(BA392=0,AZ392&gt;=1),"Complete","Incomplete"))</f>
        <v/>
      </c>
    </row>
    <row r="393" ht="15" customHeight="1" s="62">
      <c r="A393" s="81" t="n"/>
      <c r="B393" s="113" t="n"/>
      <c r="C393" s="81" t="n"/>
      <c r="D393" s="81" t="n"/>
      <c r="E393" s="81" t="n"/>
      <c r="F393" s="81" t="n"/>
      <c r="G393" s="81" t="n"/>
      <c r="H393" s="81" t="n"/>
      <c r="I393" s="81" t="n"/>
      <c r="J393" s="81" t="n"/>
      <c r="K393" s="81" t="n"/>
      <c r="L393" s="113" t="n"/>
      <c r="M393" s="81" t="n"/>
      <c r="N393" s="81" t="n"/>
      <c r="O393" s="81" t="n"/>
      <c r="P393" s="81" t="n"/>
      <c r="Q393" s="113" t="n"/>
      <c r="R393" s="113" t="n"/>
      <c r="S393" s="113" t="n"/>
      <c r="T393" s="81" t="n"/>
      <c r="U393" s="81" t="n"/>
      <c r="V393" s="113" t="n"/>
      <c r="W393" s="81" t="n"/>
      <c r="X393" s="81" t="n"/>
      <c r="Y393" s="81" t="n"/>
      <c r="Z393" s="81" t="n"/>
      <c r="AA393" s="81" t="n"/>
      <c r="AB393" s="81" t="n"/>
      <c r="AC393" s="81" t="n"/>
      <c r="AD393" s="81" t="n"/>
      <c r="AE393" s="81" t="n"/>
      <c r="AF393" s="81" t="n"/>
      <c r="AG393" s="81" t="n"/>
      <c r="AH393" s="113" t="n"/>
      <c r="AI393" s="81" t="n"/>
      <c r="AJ393" s="81" t="n"/>
      <c r="AK393" s="113" t="n"/>
      <c r="AL393" s="81" t="n"/>
      <c r="AM393" s="81" t="n"/>
      <c r="AN393" s="81" t="n"/>
      <c r="AO393" s="113" t="n"/>
      <c r="AP393" s="113" t="n"/>
      <c r="AQ393" s="81" t="n"/>
      <c r="AR393" s="113" t="n"/>
      <c r="AS393" s="113" t="n"/>
      <c r="AT393" s="114" t="n"/>
      <c r="AU393" s="81" t="n"/>
      <c r="AV393" s="114" t="n"/>
      <c r="AW393" s="114" t="n"/>
      <c r="AX393" s="81" t="n"/>
      <c r="AY393" s="113" t="n"/>
      <c r="AZ393" s="115">
        <f>IF($B393="","",COUNTIF(References!$A$4:$A$503,$A393))</f>
        <v/>
      </c>
      <c r="BA393" s="115">
        <f>IF($B393="","",(LEN(A393)=0)+(LEN(B393)=0)+(LEN(D393)=0)+(LEN(G393)=0)+(LEN(H393)=0)+(LEN(I393)=0)+(LEN(J393)=0)+(LEN(L393)=0)+(LEN(M393)=0)+(LEN(O393)=0)+(LEN(R393)=0)+(LEN(X393)=0)+(LEN(AI393)=0)+(LEN(AJ393)=0)+(LEN(AQ393)=0)+(LEN(AR393)=0)+(LEN(AT393)=0)+(LEN(AU393)=0)+(LEN(AV393)=0)+(LEN(AX393)=0))</f>
        <v/>
      </c>
      <c r="BB393" s="115">
        <f>IF($B393="","",IF(AND(BA393=0,AZ393&gt;=1),"Complete","Incomplete"))</f>
        <v/>
      </c>
    </row>
    <row r="394" ht="15" customHeight="1" s="62">
      <c r="A394" s="81" t="n"/>
      <c r="B394" s="113" t="n"/>
      <c r="C394" s="81" t="n"/>
      <c r="D394" s="81" t="n"/>
      <c r="E394" s="81" t="n"/>
      <c r="F394" s="81" t="n"/>
      <c r="G394" s="81" t="n"/>
      <c r="H394" s="81" t="n"/>
      <c r="I394" s="81" t="n"/>
      <c r="J394" s="81" t="n"/>
      <c r="K394" s="81" t="n"/>
      <c r="L394" s="113" t="n"/>
      <c r="M394" s="81" t="n"/>
      <c r="N394" s="81" t="n"/>
      <c r="O394" s="81" t="n"/>
      <c r="P394" s="81" t="n"/>
      <c r="Q394" s="113" t="n"/>
      <c r="R394" s="113" t="n"/>
      <c r="S394" s="113" t="n"/>
      <c r="T394" s="81" t="n"/>
      <c r="U394" s="81" t="n"/>
      <c r="V394" s="113" t="n"/>
      <c r="W394" s="81" t="n"/>
      <c r="X394" s="81" t="n"/>
      <c r="Y394" s="81" t="n"/>
      <c r="Z394" s="81" t="n"/>
      <c r="AA394" s="81" t="n"/>
      <c r="AB394" s="81" t="n"/>
      <c r="AC394" s="81" t="n"/>
      <c r="AD394" s="81" t="n"/>
      <c r="AE394" s="81" t="n"/>
      <c r="AF394" s="81" t="n"/>
      <c r="AG394" s="81" t="n"/>
      <c r="AH394" s="113" t="n"/>
      <c r="AI394" s="81" t="n"/>
      <c r="AJ394" s="81" t="n"/>
      <c r="AK394" s="113" t="n"/>
      <c r="AL394" s="81" t="n"/>
      <c r="AM394" s="81" t="n"/>
      <c r="AN394" s="81" t="n"/>
      <c r="AO394" s="113" t="n"/>
      <c r="AP394" s="113" t="n"/>
      <c r="AQ394" s="81" t="n"/>
      <c r="AR394" s="113" t="n"/>
      <c r="AS394" s="113" t="n"/>
      <c r="AT394" s="114" t="n"/>
      <c r="AU394" s="81" t="n"/>
      <c r="AV394" s="114" t="n"/>
      <c r="AW394" s="114" t="n"/>
      <c r="AX394" s="81" t="n"/>
      <c r="AY394" s="113" t="n"/>
      <c r="AZ394" s="115">
        <f>IF($B394="","",COUNTIF(References!$A$4:$A$503,$A394))</f>
        <v/>
      </c>
      <c r="BA394" s="115">
        <f>IF($B394="","",(LEN(A394)=0)+(LEN(B394)=0)+(LEN(D394)=0)+(LEN(G394)=0)+(LEN(H394)=0)+(LEN(I394)=0)+(LEN(J394)=0)+(LEN(L394)=0)+(LEN(M394)=0)+(LEN(O394)=0)+(LEN(R394)=0)+(LEN(X394)=0)+(LEN(AI394)=0)+(LEN(AJ394)=0)+(LEN(AQ394)=0)+(LEN(AR394)=0)+(LEN(AT394)=0)+(LEN(AU394)=0)+(LEN(AV394)=0)+(LEN(AX394)=0))</f>
        <v/>
      </c>
      <c r="BB394" s="115">
        <f>IF($B394="","",IF(AND(BA394=0,AZ394&gt;=1),"Complete","Incomplete"))</f>
        <v/>
      </c>
    </row>
    <row r="395" ht="15" customHeight="1" s="62">
      <c r="A395" s="81" t="n"/>
      <c r="B395" s="113" t="n"/>
      <c r="C395" s="81" t="n"/>
      <c r="D395" s="81" t="n"/>
      <c r="E395" s="81" t="n"/>
      <c r="F395" s="81" t="n"/>
      <c r="G395" s="81" t="n"/>
      <c r="H395" s="81" t="n"/>
      <c r="I395" s="81" t="n"/>
      <c r="J395" s="81" t="n"/>
      <c r="K395" s="81" t="n"/>
      <c r="L395" s="113" t="n"/>
      <c r="M395" s="81" t="n"/>
      <c r="N395" s="81" t="n"/>
      <c r="O395" s="81" t="n"/>
      <c r="P395" s="81" t="n"/>
      <c r="Q395" s="113" t="n"/>
      <c r="R395" s="113" t="n"/>
      <c r="S395" s="113" t="n"/>
      <c r="T395" s="81" t="n"/>
      <c r="U395" s="81" t="n"/>
      <c r="V395" s="113" t="n"/>
      <c r="W395" s="81" t="n"/>
      <c r="X395" s="81" t="n"/>
      <c r="Y395" s="81" t="n"/>
      <c r="Z395" s="81" t="n"/>
      <c r="AA395" s="81" t="n"/>
      <c r="AB395" s="81" t="n"/>
      <c r="AC395" s="81" t="n"/>
      <c r="AD395" s="81" t="n"/>
      <c r="AE395" s="81" t="n"/>
      <c r="AF395" s="81" t="n"/>
      <c r="AG395" s="81" t="n"/>
      <c r="AH395" s="113" t="n"/>
      <c r="AI395" s="81" t="n"/>
      <c r="AJ395" s="81" t="n"/>
      <c r="AK395" s="113" t="n"/>
      <c r="AL395" s="81" t="n"/>
      <c r="AM395" s="81" t="n"/>
      <c r="AN395" s="81" t="n"/>
      <c r="AO395" s="113" t="n"/>
      <c r="AP395" s="113" t="n"/>
      <c r="AQ395" s="81" t="n"/>
      <c r="AR395" s="113" t="n"/>
      <c r="AS395" s="113" t="n"/>
      <c r="AT395" s="114" t="n"/>
      <c r="AU395" s="81" t="n"/>
      <c r="AV395" s="114" t="n"/>
      <c r="AW395" s="114" t="n"/>
      <c r="AX395" s="81" t="n"/>
      <c r="AY395" s="113" t="n"/>
      <c r="AZ395" s="115">
        <f>IF($B395="","",COUNTIF(References!$A$4:$A$503,$A395))</f>
        <v/>
      </c>
      <c r="BA395" s="115">
        <f>IF($B395="","",(LEN(A395)=0)+(LEN(B395)=0)+(LEN(D395)=0)+(LEN(G395)=0)+(LEN(H395)=0)+(LEN(I395)=0)+(LEN(J395)=0)+(LEN(L395)=0)+(LEN(M395)=0)+(LEN(O395)=0)+(LEN(R395)=0)+(LEN(X395)=0)+(LEN(AI395)=0)+(LEN(AJ395)=0)+(LEN(AQ395)=0)+(LEN(AR395)=0)+(LEN(AT395)=0)+(LEN(AU395)=0)+(LEN(AV395)=0)+(LEN(AX395)=0))</f>
        <v/>
      </c>
      <c r="BB395" s="115">
        <f>IF($B395="","",IF(AND(BA395=0,AZ395&gt;=1),"Complete","Incomplete"))</f>
        <v/>
      </c>
    </row>
    <row r="396" ht="15" customHeight="1" s="62">
      <c r="A396" s="81" t="n"/>
      <c r="B396" s="113" t="n"/>
      <c r="C396" s="81" t="n"/>
      <c r="D396" s="81" t="n"/>
      <c r="E396" s="81" t="n"/>
      <c r="F396" s="81" t="n"/>
      <c r="G396" s="81" t="n"/>
      <c r="H396" s="81" t="n"/>
      <c r="I396" s="81" t="n"/>
      <c r="J396" s="81" t="n"/>
      <c r="K396" s="81" t="n"/>
      <c r="L396" s="113" t="n"/>
      <c r="M396" s="81" t="n"/>
      <c r="N396" s="81" t="n"/>
      <c r="O396" s="81" t="n"/>
      <c r="P396" s="81" t="n"/>
      <c r="Q396" s="113" t="n"/>
      <c r="R396" s="113" t="n"/>
      <c r="S396" s="113" t="n"/>
      <c r="T396" s="81" t="n"/>
      <c r="U396" s="81" t="n"/>
      <c r="V396" s="113" t="n"/>
      <c r="W396" s="81" t="n"/>
      <c r="X396" s="81" t="n"/>
      <c r="Y396" s="81" t="n"/>
      <c r="Z396" s="81" t="n"/>
      <c r="AA396" s="81" t="n"/>
      <c r="AB396" s="81" t="n"/>
      <c r="AC396" s="81" t="n"/>
      <c r="AD396" s="81" t="n"/>
      <c r="AE396" s="81" t="n"/>
      <c r="AF396" s="81" t="n"/>
      <c r="AG396" s="81" t="n"/>
      <c r="AH396" s="113" t="n"/>
      <c r="AI396" s="81" t="n"/>
      <c r="AJ396" s="81" t="n"/>
      <c r="AK396" s="113" t="n"/>
      <c r="AL396" s="81" t="n"/>
      <c r="AM396" s="81" t="n"/>
      <c r="AN396" s="81" t="n"/>
      <c r="AO396" s="113" t="n"/>
      <c r="AP396" s="113" t="n"/>
      <c r="AQ396" s="81" t="n"/>
      <c r="AR396" s="113" t="n"/>
      <c r="AS396" s="113" t="n"/>
      <c r="AT396" s="114" t="n"/>
      <c r="AU396" s="81" t="n"/>
      <c r="AV396" s="114" t="n"/>
      <c r="AW396" s="114" t="n"/>
      <c r="AX396" s="81" t="n"/>
      <c r="AY396" s="113" t="n"/>
      <c r="AZ396" s="115">
        <f>IF($B396="","",COUNTIF(References!$A$4:$A$503,$A396))</f>
        <v/>
      </c>
      <c r="BA396" s="115">
        <f>IF($B396="","",(LEN(A396)=0)+(LEN(B396)=0)+(LEN(D396)=0)+(LEN(G396)=0)+(LEN(H396)=0)+(LEN(I396)=0)+(LEN(J396)=0)+(LEN(L396)=0)+(LEN(M396)=0)+(LEN(O396)=0)+(LEN(R396)=0)+(LEN(X396)=0)+(LEN(AI396)=0)+(LEN(AJ396)=0)+(LEN(AQ396)=0)+(LEN(AR396)=0)+(LEN(AT396)=0)+(LEN(AU396)=0)+(LEN(AV396)=0)+(LEN(AX396)=0))</f>
        <v/>
      </c>
      <c r="BB396" s="115">
        <f>IF($B396="","",IF(AND(BA396=0,AZ396&gt;=1),"Complete","Incomplete"))</f>
        <v/>
      </c>
    </row>
    <row r="397" ht="15" customHeight="1" s="62">
      <c r="A397" s="81" t="n"/>
      <c r="B397" s="113" t="n"/>
      <c r="C397" s="81" t="n"/>
      <c r="D397" s="81" t="n"/>
      <c r="E397" s="81" t="n"/>
      <c r="F397" s="81" t="n"/>
      <c r="G397" s="81" t="n"/>
      <c r="H397" s="81" t="n"/>
      <c r="I397" s="81" t="n"/>
      <c r="J397" s="81" t="n"/>
      <c r="K397" s="81" t="n"/>
      <c r="L397" s="113" t="n"/>
      <c r="M397" s="81" t="n"/>
      <c r="N397" s="81" t="n"/>
      <c r="O397" s="81" t="n"/>
      <c r="P397" s="81" t="n"/>
      <c r="Q397" s="113" t="n"/>
      <c r="R397" s="113" t="n"/>
      <c r="S397" s="113" t="n"/>
      <c r="T397" s="81" t="n"/>
      <c r="U397" s="81" t="n"/>
      <c r="V397" s="113" t="n"/>
      <c r="W397" s="81" t="n"/>
      <c r="X397" s="81" t="n"/>
      <c r="Y397" s="81" t="n"/>
      <c r="Z397" s="81" t="n"/>
      <c r="AA397" s="81" t="n"/>
      <c r="AB397" s="81" t="n"/>
      <c r="AC397" s="81" t="n"/>
      <c r="AD397" s="81" t="n"/>
      <c r="AE397" s="81" t="n"/>
      <c r="AF397" s="81" t="n"/>
      <c r="AG397" s="81" t="n"/>
      <c r="AH397" s="113" t="n"/>
      <c r="AI397" s="81" t="n"/>
      <c r="AJ397" s="81" t="n"/>
      <c r="AK397" s="113" t="n"/>
      <c r="AL397" s="81" t="n"/>
      <c r="AM397" s="81" t="n"/>
      <c r="AN397" s="81" t="n"/>
      <c r="AO397" s="113" t="n"/>
      <c r="AP397" s="113" t="n"/>
      <c r="AQ397" s="81" t="n"/>
      <c r="AR397" s="113" t="n"/>
      <c r="AS397" s="113" t="n"/>
      <c r="AT397" s="114" t="n"/>
      <c r="AU397" s="81" t="n"/>
      <c r="AV397" s="114" t="n"/>
      <c r="AW397" s="114" t="n"/>
      <c r="AX397" s="81" t="n"/>
      <c r="AY397" s="113" t="n"/>
      <c r="AZ397" s="115">
        <f>IF($B397="","",COUNTIF(References!$A$4:$A$503,$A397))</f>
        <v/>
      </c>
      <c r="BA397" s="115">
        <f>IF($B397="","",(LEN(A397)=0)+(LEN(B397)=0)+(LEN(D397)=0)+(LEN(G397)=0)+(LEN(H397)=0)+(LEN(I397)=0)+(LEN(J397)=0)+(LEN(L397)=0)+(LEN(M397)=0)+(LEN(O397)=0)+(LEN(R397)=0)+(LEN(X397)=0)+(LEN(AI397)=0)+(LEN(AJ397)=0)+(LEN(AQ397)=0)+(LEN(AR397)=0)+(LEN(AT397)=0)+(LEN(AU397)=0)+(LEN(AV397)=0)+(LEN(AX397)=0))</f>
        <v/>
      </c>
      <c r="BB397" s="115">
        <f>IF($B397="","",IF(AND(BA397=0,AZ397&gt;=1),"Complete","Incomplete"))</f>
        <v/>
      </c>
    </row>
    <row r="398" ht="15" customHeight="1" s="62">
      <c r="A398" s="81" t="n"/>
      <c r="B398" s="113" t="n"/>
      <c r="C398" s="81" t="n"/>
      <c r="D398" s="81" t="n"/>
      <c r="E398" s="81" t="n"/>
      <c r="F398" s="81" t="n"/>
      <c r="G398" s="81" t="n"/>
      <c r="H398" s="81" t="n"/>
      <c r="I398" s="81" t="n"/>
      <c r="J398" s="81" t="n"/>
      <c r="K398" s="81" t="n"/>
      <c r="L398" s="113" t="n"/>
      <c r="M398" s="81" t="n"/>
      <c r="N398" s="81" t="n"/>
      <c r="O398" s="81" t="n"/>
      <c r="P398" s="81" t="n"/>
      <c r="Q398" s="113" t="n"/>
      <c r="R398" s="113" t="n"/>
      <c r="S398" s="113" t="n"/>
      <c r="T398" s="81" t="n"/>
      <c r="U398" s="81" t="n"/>
      <c r="V398" s="113" t="n"/>
      <c r="W398" s="81" t="n"/>
      <c r="X398" s="81" t="n"/>
      <c r="Y398" s="81" t="n"/>
      <c r="Z398" s="81" t="n"/>
      <c r="AA398" s="81" t="n"/>
      <c r="AB398" s="81" t="n"/>
      <c r="AC398" s="81" t="n"/>
      <c r="AD398" s="81" t="n"/>
      <c r="AE398" s="81" t="n"/>
      <c r="AF398" s="81" t="n"/>
      <c r="AG398" s="81" t="n"/>
      <c r="AH398" s="113" t="n"/>
      <c r="AI398" s="81" t="n"/>
      <c r="AJ398" s="81" t="n"/>
      <c r="AK398" s="113" t="n"/>
      <c r="AL398" s="81" t="n"/>
      <c r="AM398" s="81" t="n"/>
      <c r="AN398" s="81" t="n"/>
      <c r="AO398" s="113" t="n"/>
      <c r="AP398" s="113" t="n"/>
      <c r="AQ398" s="81" t="n"/>
      <c r="AR398" s="113" t="n"/>
      <c r="AS398" s="113" t="n"/>
      <c r="AT398" s="114" t="n"/>
      <c r="AU398" s="81" t="n"/>
      <c r="AV398" s="114" t="n"/>
      <c r="AW398" s="114" t="n"/>
      <c r="AX398" s="81" t="n"/>
      <c r="AY398" s="113" t="n"/>
      <c r="AZ398" s="115">
        <f>IF($B398="","",COUNTIF(References!$A$4:$A$503,$A398))</f>
        <v/>
      </c>
      <c r="BA398" s="115">
        <f>IF($B398="","",(LEN(A398)=0)+(LEN(B398)=0)+(LEN(D398)=0)+(LEN(G398)=0)+(LEN(H398)=0)+(LEN(I398)=0)+(LEN(J398)=0)+(LEN(L398)=0)+(LEN(M398)=0)+(LEN(O398)=0)+(LEN(R398)=0)+(LEN(X398)=0)+(LEN(AI398)=0)+(LEN(AJ398)=0)+(LEN(AQ398)=0)+(LEN(AR398)=0)+(LEN(AT398)=0)+(LEN(AU398)=0)+(LEN(AV398)=0)+(LEN(AX398)=0))</f>
        <v/>
      </c>
      <c r="BB398" s="115">
        <f>IF($B398="","",IF(AND(BA398=0,AZ398&gt;=1),"Complete","Incomplete"))</f>
        <v/>
      </c>
    </row>
    <row r="399" ht="15" customHeight="1" s="62">
      <c r="A399" s="81" t="n"/>
      <c r="B399" s="113" t="n"/>
      <c r="C399" s="81" t="n"/>
      <c r="D399" s="81" t="n"/>
      <c r="E399" s="81" t="n"/>
      <c r="F399" s="81" t="n"/>
      <c r="G399" s="81" t="n"/>
      <c r="H399" s="81" t="n"/>
      <c r="I399" s="81" t="n"/>
      <c r="J399" s="81" t="n"/>
      <c r="K399" s="81" t="n"/>
      <c r="L399" s="113" t="n"/>
      <c r="M399" s="81" t="n"/>
      <c r="N399" s="81" t="n"/>
      <c r="O399" s="81" t="n"/>
      <c r="P399" s="81" t="n"/>
      <c r="Q399" s="113" t="n"/>
      <c r="R399" s="113" t="n"/>
      <c r="S399" s="113" t="n"/>
      <c r="T399" s="81" t="n"/>
      <c r="U399" s="81" t="n"/>
      <c r="V399" s="113" t="n"/>
      <c r="W399" s="81" t="n"/>
      <c r="X399" s="81" t="n"/>
      <c r="Y399" s="81" t="n"/>
      <c r="Z399" s="81" t="n"/>
      <c r="AA399" s="81" t="n"/>
      <c r="AB399" s="81" t="n"/>
      <c r="AC399" s="81" t="n"/>
      <c r="AD399" s="81" t="n"/>
      <c r="AE399" s="81" t="n"/>
      <c r="AF399" s="81" t="n"/>
      <c r="AG399" s="81" t="n"/>
      <c r="AH399" s="113" t="n"/>
      <c r="AI399" s="81" t="n"/>
      <c r="AJ399" s="81" t="n"/>
      <c r="AK399" s="113" t="n"/>
      <c r="AL399" s="81" t="n"/>
      <c r="AM399" s="81" t="n"/>
      <c r="AN399" s="81" t="n"/>
      <c r="AO399" s="113" t="n"/>
      <c r="AP399" s="113" t="n"/>
      <c r="AQ399" s="81" t="n"/>
      <c r="AR399" s="113" t="n"/>
      <c r="AS399" s="113" t="n"/>
      <c r="AT399" s="114" t="n"/>
      <c r="AU399" s="81" t="n"/>
      <c r="AV399" s="114" t="n"/>
      <c r="AW399" s="114" t="n"/>
      <c r="AX399" s="81" t="n"/>
      <c r="AY399" s="113" t="n"/>
      <c r="AZ399" s="115">
        <f>IF($B399="","",COUNTIF(References!$A$4:$A$503,$A399))</f>
        <v/>
      </c>
      <c r="BA399" s="115">
        <f>IF($B399="","",(LEN(A399)=0)+(LEN(B399)=0)+(LEN(D399)=0)+(LEN(G399)=0)+(LEN(H399)=0)+(LEN(I399)=0)+(LEN(J399)=0)+(LEN(L399)=0)+(LEN(M399)=0)+(LEN(O399)=0)+(LEN(R399)=0)+(LEN(X399)=0)+(LEN(AI399)=0)+(LEN(AJ399)=0)+(LEN(AQ399)=0)+(LEN(AR399)=0)+(LEN(AT399)=0)+(LEN(AU399)=0)+(LEN(AV399)=0)+(LEN(AX399)=0))</f>
        <v/>
      </c>
      <c r="BB399" s="115">
        <f>IF($B399="","",IF(AND(BA399=0,AZ399&gt;=1),"Complete","Incomplete"))</f>
        <v/>
      </c>
    </row>
    <row r="400" ht="15" customHeight="1" s="62">
      <c r="A400" s="81" t="n"/>
      <c r="B400" s="113" t="n"/>
      <c r="C400" s="81" t="n"/>
      <c r="D400" s="81" t="n"/>
      <c r="E400" s="81" t="n"/>
      <c r="F400" s="81" t="n"/>
      <c r="G400" s="81" t="n"/>
      <c r="H400" s="81" t="n"/>
      <c r="I400" s="81" t="n"/>
      <c r="J400" s="81" t="n"/>
      <c r="K400" s="81" t="n"/>
      <c r="L400" s="113" t="n"/>
      <c r="M400" s="81" t="n"/>
      <c r="N400" s="81" t="n"/>
      <c r="O400" s="81" t="n"/>
      <c r="P400" s="81" t="n"/>
      <c r="Q400" s="113" t="n"/>
      <c r="R400" s="113" t="n"/>
      <c r="S400" s="113" t="n"/>
      <c r="T400" s="81" t="n"/>
      <c r="U400" s="81" t="n"/>
      <c r="V400" s="113" t="n"/>
      <c r="W400" s="81" t="n"/>
      <c r="X400" s="81" t="n"/>
      <c r="Y400" s="81" t="n"/>
      <c r="Z400" s="81" t="n"/>
      <c r="AA400" s="81" t="n"/>
      <c r="AB400" s="81" t="n"/>
      <c r="AC400" s="81" t="n"/>
      <c r="AD400" s="81" t="n"/>
      <c r="AE400" s="81" t="n"/>
      <c r="AF400" s="81" t="n"/>
      <c r="AG400" s="81" t="n"/>
      <c r="AH400" s="113" t="n"/>
      <c r="AI400" s="81" t="n"/>
      <c r="AJ400" s="81" t="n"/>
      <c r="AK400" s="113" t="n"/>
      <c r="AL400" s="81" t="n"/>
      <c r="AM400" s="81" t="n"/>
      <c r="AN400" s="81" t="n"/>
      <c r="AO400" s="113" t="n"/>
      <c r="AP400" s="113" t="n"/>
      <c r="AQ400" s="81" t="n"/>
      <c r="AR400" s="113" t="n"/>
      <c r="AS400" s="113" t="n"/>
      <c r="AT400" s="114" t="n"/>
      <c r="AU400" s="81" t="n"/>
      <c r="AV400" s="114" t="n"/>
      <c r="AW400" s="114" t="n"/>
      <c r="AX400" s="81" t="n"/>
      <c r="AY400" s="113" t="n"/>
      <c r="AZ400" s="115">
        <f>IF($B400="","",COUNTIF(References!$A$4:$A$503,$A400))</f>
        <v/>
      </c>
      <c r="BA400" s="115">
        <f>IF($B400="","",(LEN(A400)=0)+(LEN(B400)=0)+(LEN(D400)=0)+(LEN(G400)=0)+(LEN(H400)=0)+(LEN(I400)=0)+(LEN(J400)=0)+(LEN(L400)=0)+(LEN(M400)=0)+(LEN(O400)=0)+(LEN(R400)=0)+(LEN(X400)=0)+(LEN(AI400)=0)+(LEN(AJ400)=0)+(LEN(AQ400)=0)+(LEN(AR400)=0)+(LEN(AT400)=0)+(LEN(AU400)=0)+(LEN(AV400)=0)+(LEN(AX400)=0))</f>
        <v/>
      </c>
      <c r="BB400" s="115">
        <f>IF($B400="","",IF(AND(BA400=0,AZ400&gt;=1),"Complete","Incomplete"))</f>
        <v/>
      </c>
    </row>
    <row r="401" ht="15" customHeight="1" s="62">
      <c r="A401" s="81" t="n"/>
      <c r="B401" s="113" t="n"/>
      <c r="C401" s="81" t="n"/>
      <c r="D401" s="81" t="n"/>
      <c r="E401" s="81" t="n"/>
      <c r="F401" s="81" t="n"/>
      <c r="G401" s="81" t="n"/>
      <c r="H401" s="81" t="n"/>
      <c r="I401" s="81" t="n"/>
      <c r="J401" s="81" t="n"/>
      <c r="K401" s="81" t="n"/>
      <c r="L401" s="113" t="n"/>
      <c r="M401" s="81" t="n"/>
      <c r="N401" s="81" t="n"/>
      <c r="O401" s="81" t="n"/>
      <c r="P401" s="81" t="n"/>
      <c r="Q401" s="113" t="n"/>
      <c r="R401" s="113" t="n"/>
      <c r="S401" s="113" t="n"/>
      <c r="T401" s="81" t="n"/>
      <c r="U401" s="81" t="n"/>
      <c r="V401" s="113" t="n"/>
      <c r="W401" s="81" t="n"/>
      <c r="X401" s="81" t="n"/>
      <c r="Y401" s="81" t="n"/>
      <c r="Z401" s="81" t="n"/>
      <c r="AA401" s="81" t="n"/>
      <c r="AB401" s="81" t="n"/>
      <c r="AC401" s="81" t="n"/>
      <c r="AD401" s="81" t="n"/>
      <c r="AE401" s="81" t="n"/>
      <c r="AF401" s="81" t="n"/>
      <c r="AG401" s="81" t="n"/>
      <c r="AH401" s="113" t="n"/>
      <c r="AI401" s="81" t="n"/>
      <c r="AJ401" s="81" t="n"/>
      <c r="AK401" s="113" t="n"/>
      <c r="AL401" s="81" t="n"/>
      <c r="AM401" s="81" t="n"/>
      <c r="AN401" s="81" t="n"/>
      <c r="AO401" s="113" t="n"/>
      <c r="AP401" s="113" t="n"/>
      <c r="AQ401" s="81" t="n"/>
      <c r="AR401" s="113" t="n"/>
      <c r="AS401" s="113" t="n"/>
      <c r="AT401" s="114" t="n"/>
      <c r="AU401" s="81" t="n"/>
      <c r="AV401" s="114" t="n"/>
      <c r="AW401" s="114" t="n"/>
      <c r="AX401" s="81" t="n"/>
      <c r="AY401" s="113" t="n"/>
      <c r="AZ401" s="115">
        <f>IF($B401="","",COUNTIF(References!$A$4:$A$503,$A401))</f>
        <v/>
      </c>
      <c r="BA401" s="115">
        <f>IF($B401="","",(LEN(A401)=0)+(LEN(B401)=0)+(LEN(D401)=0)+(LEN(G401)=0)+(LEN(H401)=0)+(LEN(I401)=0)+(LEN(J401)=0)+(LEN(L401)=0)+(LEN(M401)=0)+(LEN(O401)=0)+(LEN(R401)=0)+(LEN(X401)=0)+(LEN(AI401)=0)+(LEN(AJ401)=0)+(LEN(AQ401)=0)+(LEN(AR401)=0)+(LEN(AT401)=0)+(LEN(AU401)=0)+(LEN(AV401)=0)+(LEN(AX401)=0))</f>
        <v/>
      </c>
      <c r="BB401" s="115">
        <f>IF($B401="","",IF(AND(BA401=0,AZ401&gt;=1),"Complete","Incomplete"))</f>
        <v/>
      </c>
    </row>
    <row r="402" ht="15" customHeight="1" s="62">
      <c r="A402" s="81" t="n"/>
      <c r="B402" s="113" t="n"/>
      <c r="C402" s="81" t="n"/>
      <c r="D402" s="81" t="n"/>
      <c r="E402" s="81" t="n"/>
      <c r="F402" s="81" t="n"/>
      <c r="G402" s="81" t="n"/>
      <c r="H402" s="81" t="n"/>
      <c r="I402" s="81" t="n"/>
      <c r="J402" s="81" t="n"/>
      <c r="K402" s="81" t="n"/>
      <c r="L402" s="113" t="n"/>
      <c r="M402" s="81" t="n"/>
      <c r="N402" s="81" t="n"/>
      <c r="O402" s="81" t="n"/>
      <c r="P402" s="81" t="n"/>
      <c r="Q402" s="113" t="n"/>
      <c r="R402" s="113" t="n"/>
      <c r="S402" s="113" t="n"/>
      <c r="T402" s="81" t="n"/>
      <c r="U402" s="81" t="n"/>
      <c r="V402" s="113" t="n"/>
      <c r="W402" s="81" t="n"/>
      <c r="X402" s="81" t="n"/>
      <c r="Y402" s="81" t="n"/>
      <c r="Z402" s="81" t="n"/>
      <c r="AA402" s="81" t="n"/>
      <c r="AB402" s="81" t="n"/>
      <c r="AC402" s="81" t="n"/>
      <c r="AD402" s="81" t="n"/>
      <c r="AE402" s="81" t="n"/>
      <c r="AF402" s="81" t="n"/>
      <c r="AG402" s="81" t="n"/>
      <c r="AH402" s="113" t="n"/>
      <c r="AI402" s="81" t="n"/>
      <c r="AJ402" s="81" t="n"/>
      <c r="AK402" s="113" t="n"/>
      <c r="AL402" s="81" t="n"/>
      <c r="AM402" s="81" t="n"/>
      <c r="AN402" s="81" t="n"/>
      <c r="AO402" s="113" t="n"/>
      <c r="AP402" s="113" t="n"/>
      <c r="AQ402" s="81" t="n"/>
      <c r="AR402" s="113" t="n"/>
      <c r="AS402" s="113" t="n"/>
      <c r="AT402" s="114" t="n"/>
      <c r="AU402" s="81" t="n"/>
      <c r="AV402" s="114" t="n"/>
      <c r="AW402" s="114" t="n"/>
      <c r="AX402" s="81" t="n"/>
      <c r="AY402" s="113" t="n"/>
      <c r="AZ402" s="115">
        <f>IF($B402="","",COUNTIF(References!$A$4:$A$503,$A402))</f>
        <v/>
      </c>
      <c r="BA402" s="115">
        <f>IF($B402="","",(LEN(A402)=0)+(LEN(B402)=0)+(LEN(D402)=0)+(LEN(G402)=0)+(LEN(H402)=0)+(LEN(I402)=0)+(LEN(J402)=0)+(LEN(L402)=0)+(LEN(M402)=0)+(LEN(O402)=0)+(LEN(R402)=0)+(LEN(X402)=0)+(LEN(AI402)=0)+(LEN(AJ402)=0)+(LEN(AQ402)=0)+(LEN(AR402)=0)+(LEN(AT402)=0)+(LEN(AU402)=0)+(LEN(AV402)=0)+(LEN(AX402)=0))</f>
        <v/>
      </c>
      <c r="BB402" s="115">
        <f>IF($B402="","",IF(AND(BA402=0,AZ402&gt;=1),"Complete","Incomplete"))</f>
        <v/>
      </c>
    </row>
    <row r="403" ht="15" customHeight="1" s="62">
      <c r="A403" s="81" t="n"/>
      <c r="B403" s="113" t="n"/>
      <c r="C403" s="81" t="n"/>
      <c r="D403" s="81" t="n"/>
      <c r="E403" s="81" t="n"/>
      <c r="F403" s="81" t="n"/>
      <c r="G403" s="81" t="n"/>
      <c r="H403" s="81" t="n"/>
      <c r="I403" s="81" t="n"/>
      <c r="J403" s="81" t="n"/>
      <c r="K403" s="81" t="n"/>
      <c r="L403" s="113" t="n"/>
      <c r="M403" s="81" t="n"/>
      <c r="N403" s="81" t="n"/>
      <c r="O403" s="81" t="n"/>
      <c r="P403" s="81" t="n"/>
      <c r="Q403" s="113" t="n"/>
      <c r="R403" s="113" t="n"/>
      <c r="S403" s="113" t="n"/>
      <c r="T403" s="81" t="n"/>
      <c r="U403" s="81" t="n"/>
      <c r="V403" s="113" t="n"/>
      <c r="W403" s="81" t="n"/>
      <c r="X403" s="81" t="n"/>
      <c r="Y403" s="81" t="n"/>
      <c r="Z403" s="81" t="n"/>
      <c r="AA403" s="81" t="n"/>
      <c r="AB403" s="81" t="n"/>
      <c r="AC403" s="81" t="n"/>
      <c r="AD403" s="81" t="n"/>
      <c r="AE403" s="81" t="n"/>
      <c r="AF403" s="81" t="n"/>
      <c r="AG403" s="81" t="n"/>
      <c r="AH403" s="113" t="n"/>
      <c r="AI403" s="81" t="n"/>
      <c r="AJ403" s="81" t="n"/>
      <c r="AK403" s="113" t="n"/>
      <c r="AL403" s="81" t="n"/>
      <c r="AM403" s="81" t="n"/>
      <c r="AN403" s="81" t="n"/>
      <c r="AO403" s="113" t="n"/>
      <c r="AP403" s="113" t="n"/>
      <c r="AQ403" s="81" t="n"/>
      <c r="AR403" s="113" t="n"/>
      <c r="AS403" s="113" t="n"/>
      <c r="AT403" s="114" t="n"/>
      <c r="AU403" s="81" t="n"/>
      <c r="AV403" s="114" t="n"/>
      <c r="AW403" s="114" t="n"/>
      <c r="AX403" s="81" t="n"/>
      <c r="AY403" s="113" t="n"/>
      <c r="AZ403" s="115">
        <f>IF($B403="","",COUNTIF(References!$A$4:$A$503,$A403))</f>
        <v/>
      </c>
      <c r="BA403" s="115">
        <f>IF($B403="","",(LEN(A403)=0)+(LEN(B403)=0)+(LEN(D403)=0)+(LEN(G403)=0)+(LEN(H403)=0)+(LEN(I403)=0)+(LEN(J403)=0)+(LEN(L403)=0)+(LEN(M403)=0)+(LEN(O403)=0)+(LEN(R403)=0)+(LEN(X403)=0)+(LEN(AI403)=0)+(LEN(AJ403)=0)+(LEN(AQ403)=0)+(LEN(AR403)=0)+(LEN(AT403)=0)+(LEN(AU403)=0)+(LEN(AV403)=0)+(LEN(AX403)=0))</f>
        <v/>
      </c>
      <c r="BB403" s="115">
        <f>IF($B403="","",IF(AND(BA403=0,AZ403&gt;=1),"Complete","Incomplete"))</f>
        <v/>
      </c>
    </row>
    <row r="404" ht="15" customHeight="1" s="62">
      <c r="A404" s="81" t="n"/>
      <c r="B404" s="113" t="n"/>
      <c r="C404" s="81" t="n"/>
      <c r="D404" s="81" t="n"/>
      <c r="E404" s="81" t="n"/>
      <c r="F404" s="81" t="n"/>
      <c r="G404" s="81" t="n"/>
      <c r="H404" s="81" t="n"/>
      <c r="I404" s="81" t="n"/>
      <c r="J404" s="81" t="n"/>
      <c r="K404" s="81" t="n"/>
      <c r="L404" s="113" t="n"/>
      <c r="M404" s="81" t="n"/>
      <c r="N404" s="81" t="n"/>
      <c r="O404" s="81" t="n"/>
      <c r="P404" s="81" t="n"/>
      <c r="Q404" s="113" t="n"/>
      <c r="R404" s="113" t="n"/>
      <c r="S404" s="113" t="n"/>
      <c r="T404" s="81" t="n"/>
      <c r="U404" s="81" t="n"/>
      <c r="V404" s="113" t="n"/>
      <c r="W404" s="81" t="n"/>
      <c r="X404" s="81" t="n"/>
      <c r="Y404" s="81" t="n"/>
      <c r="Z404" s="81" t="n"/>
      <c r="AA404" s="81" t="n"/>
      <c r="AB404" s="81" t="n"/>
      <c r="AC404" s="81" t="n"/>
      <c r="AD404" s="81" t="n"/>
      <c r="AE404" s="81" t="n"/>
      <c r="AF404" s="81" t="n"/>
      <c r="AG404" s="81" t="n"/>
      <c r="AH404" s="113" t="n"/>
      <c r="AI404" s="81" t="n"/>
      <c r="AJ404" s="81" t="n"/>
      <c r="AK404" s="113" t="n"/>
      <c r="AL404" s="81" t="n"/>
      <c r="AM404" s="81" t="n"/>
      <c r="AN404" s="81" t="n"/>
      <c r="AO404" s="113" t="n"/>
      <c r="AP404" s="113" t="n"/>
      <c r="AQ404" s="81" t="n"/>
      <c r="AR404" s="113" t="n"/>
      <c r="AS404" s="113" t="n"/>
      <c r="AT404" s="114" t="n"/>
      <c r="AU404" s="81" t="n"/>
      <c r="AV404" s="114" t="n"/>
      <c r="AW404" s="114" t="n"/>
      <c r="AX404" s="81" t="n"/>
      <c r="AY404" s="113" t="n"/>
      <c r="AZ404" s="115">
        <f>IF($B404="","",COUNTIF(References!$A$4:$A$503,$A404))</f>
        <v/>
      </c>
      <c r="BA404" s="115">
        <f>IF($B404="","",(LEN(A404)=0)+(LEN(B404)=0)+(LEN(D404)=0)+(LEN(G404)=0)+(LEN(H404)=0)+(LEN(I404)=0)+(LEN(J404)=0)+(LEN(L404)=0)+(LEN(M404)=0)+(LEN(O404)=0)+(LEN(R404)=0)+(LEN(X404)=0)+(LEN(AI404)=0)+(LEN(AJ404)=0)+(LEN(AQ404)=0)+(LEN(AR404)=0)+(LEN(AT404)=0)+(LEN(AU404)=0)+(LEN(AV404)=0)+(LEN(AX404)=0))</f>
        <v/>
      </c>
      <c r="BB404" s="115">
        <f>IF($B404="","",IF(AND(BA404=0,AZ404&gt;=1),"Complete","Incomplete"))</f>
        <v/>
      </c>
    </row>
    <row r="405" ht="15" customHeight="1" s="62">
      <c r="A405" s="81" t="n"/>
      <c r="B405" s="113" t="n"/>
      <c r="C405" s="81" t="n"/>
      <c r="D405" s="81" t="n"/>
      <c r="E405" s="81" t="n"/>
      <c r="F405" s="81" t="n"/>
      <c r="G405" s="81" t="n"/>
      <c r="H405" s="81" t="n"/>
      <c r="I405" s="81" t="n"/>
      <c r="J405" s="81" t="n"/>
      <c r="K405" s="81" t="n"/>
      <c r="L405" s="113" t="n"/>
      <c r="M405" s="81" t="n"/>
      <c r="N405" s="81" t="n"/>
      <c r="O405" s="81" t="n"/>
      <c r="P405" s="81" t="n"/>
      <c r="Q405" s="113" t="n"/>
      <c r="R405" s="113" t="n"/>
      <c r="S405" s="113" t="n"/>
      <c r="T405" s="81" t="n"/>
      <c r="U405" s="81" t="n"/>
      <c r="V405" s="113" t="n"/>
      <c r="W405" s="81" t="n"/>
      <c r="X405" s="81" t="n"/>
      <c r="Y405" s="81" t="n"/>
      <c r="Z405" s="81" t="n"/>
      <c r="AA405" s="81" t="n"/>
      <c r="AB405" s="81" t="n"/>
      <c r="AC405" s="81" t="n"/>
      <c r="AD405" s="81" t="n"/>
      <c r="AE405" s="81" t="n"/>
      <c r="AF405" s="81" t="n"/>
      <c r="AG405" s="81" t="n"/>
      <c r="AH405" s="113" t="n"/>
      <c r="AI405" s="81" t="n"/>
      <c r="AJ405" s="81" t="n"/>
      <c r="AK405" s="113" t="n"/>
      <c r="AL405" s="81" t="n"/>
      <c r="AM405" s="81" t="n"/>
      <c r="AN405" s="81" t="n"/>
      <c r="AO405" s="113" t="n"/>
      <c r="AP405" s="113" t="n"/>
      <c r="AQ405" s="81" t="n"/>
      <c r="AR405" s="113" t="n"/>
      <c r="AS405" s="113" t="n"/>
      <c r="AT405" s="114" t="n"/>
      <c r="AU405" s="81" t="n"/>
      <c r="AV405" s="114" t="n"/>
      <c r="AW405" s="114" t="n"/>
      <c r="AX405" s="81" t="n"/>
      <c r="AY405" s="113" t="n"/>
      <c r="AZ405" s="115">
        <f>IF($B405="","",COUNTIF(References!$A$4:$A$503,$A405))</f>
        <v/>
      </c>
      <c r="BA405" s="115">
        <f>IF($B405="","",(LEN(A405)=0)+(LEN(B405)=0)+(LEN(D405)=0)+(LEN(G405)=0)+(LEN(H405)=0)+(LEN(I405)=0)+(LEN(J405)=0)+(LEN(L405)=0)+(LEN(M405)=0)+(LEN(O405)=0)+(LEN(R405)=0)+(LEN(X405)=0)+(LEN(AI405)=0)+(LEN(AJ405)=0)+(LEN(AQ405)=0)+(LEN(AR405)=0)+(LEN(AT405)=0)+(LEN(AU405)=0)+(LEN(AV405)=0)+(LEN(AX405)=0))</f>
        <v/>
      </c>
      <c r="BB405" s="115">
        <f>IF($B405="","",IF(AND(BA405=0,AZ405&gt;=1),"Complete","Incomplete"))</f>
        <v/>
      </c>
    </row>
    <row r="406" ht="15" customHeight="1" s="62">
      <c r="A406" s="81" t="n"/>
      <c r="B406" s="113" t="n"/>
      <c r="C406" s="81" t="n"/>
      <c r="D406" s="81" t="n"/>
      <c r="E406" s="81" t="n"/>
      <c r="F406" s="81" t="n"/>
      <c r="G406" s="81" t="n"/>
      <c r="H406" s="81" t="n"/>
      <c r="I406" s="81" t="n"/>
      <c r="J406" s="81" t="n"/>
      <c r="K406" s="81" t="n"/>
      <c r="L406" s="113" t="n"/>
      <c r="M406" s="81" t="n"/>
      <c r="N406" s="81" t="n"/>
      <c r="O406" s="81" t="n"/>
      <c r="P406" s="81" t="n"/>
      <c r="Q406" s="113" t="n"/>
      <c r="R406" s="113" t="n"/>
      <c r="S406" s="113" t="n"/>
      <c r="T406" s="81" t="n"/>
      <c r="U406" s="81" t="n"/>
      <c r="V406" s="113" t="n"/>
      <c r="W406" s="81" t="n"/>
      <c r="X406" s="81" t="n"/>
      <c r="Y406" s="81" t="n"/>
      <c r="Z406" s="81" t="n"/>
      <c r="AA406" s="81" t="n"/>
      <c r="AB406" s="81" t="n"/>
      <c r="AC406" s="81" t="n"/>
      <c r="AD406" s="81" t="n"/>
      <c r="AE406" s="81" t="n"/>
      <c r="AF406" s="81" t="n"/>
      <c r="AG406" s="81" t="n"/>
      <c r="AH406" s="113" t="n"/>
      <c r="AI406" s="81" t="n"/>
      <c r="AJ406" s="81" t="n"/>
      <c r="AK406" s="113" t="n"/>
      <c r="AL406" s="81" t="n"/>
      <c r="AM406" s="81" t="n"/>
      <c r="AN406" s="81" t="n"/>
      <c r="AO406" s="113" t="n"/>
      <c r="AP406" s="113" t="n"/>
      <c r="AQ406" s="81" t="n"/>
      <c r="AR406" s="113" t="n"/>
      <c r="AS406" s="113" t="n"/>
      <c r="AT406" s="114" t="n"/>
      <c r="AU406" s="81" t="n"/>
      <c r="AV406" s="114" t="n"/>
      <c r="AW406" s="114" t="n"/>
      <c r="AX406" s="81" t="n"/>
      <c r="AY406" s="113" t="n"/>
      <c r="AZ406" s="115">
        <f>IF($B406="","",COUNTIF(References!$A$4:$A$503,$A406))</f>
        <v/>
      </c>
      <c r="BA406" s="115">
        <f>IF($B406="","",(LEN(A406)=0)+(LEN(B406)=0)+(LEN(D406)=0)+(LEN(G406)=0)+(LEN(H406)=0)+(LEN(I406)=0)+(LEN(J406)=0)+(LEN(L406)=0)+(LEN(M406)=0)+(LEN(O406)=0)+(LEN(R406)=0)+(LEN(X406)=0)+(LEN(AI406)=0)+(LEN(AJ406)=0)+(LEN(AQ406)=0)+(LEN(AR406)=0)+(LEN(AT406)=0)+(LEN(AU406)=0)+(LEN(AV406)=0)+(LEN(AX406)=0))</f>
        <v/>
      </c>
      <c r="BB406" s="115">
        <f>IF($B406="","",IF(AND(BA406=0,AZ406&gt;=1),"Complete","Incomplete"))</f>
        <v/>
      </c>
    </row>
    <row r="407" ht="15" customHeight="1" s="62">
      <c r="A407" s="81" t="n"/>
      <c r="B407" s="113" t="n"/>
      <c r="C407" s="81" t="n"/>
      <c r="D407" s="81" t="n"/>
      <c r="E407" s="81" t="n"/>
      <c r="F407" s="81" t="n"/>
      <c r="G407" s="81" t="n"/>
      <c r="H407" s="81" t="n"/>
      <c r="I407" s="81" t="n"/>
      <c r="J407" s="81" t="n"/>
      <c r="K407" s="81" t="n"/>
      <c r="L407" s="113" t="n"/>
      <c r="M407" s="81" t="n"/>
      <c r="N407" s="81" t="n"/>
      <c r="O407" s="81" t="n"/>
      <c r="P407" s="81" t="n"/>
      <c r="Q407" s="113" t="n"/>
      <c r="R407" s="113" t="n"/>
      <c r="S407" s="113" t="n"/>
      <c r="T407" s="81" t="n"/>
      <c r="U407" s="81" t="n"/>
      <c r="V407" s="113" t="n"/>
      <c r="W407" s="81" t="n"/>
      <c r="X407" s="81" t="n"/>
      <c r="Y407" s="81" t="n"/>
      <c r="Z407" s="81" t="n"/>
      <c r="AA407" s="81" t="n"/>
      <c r="AB407" s="81" t="n"/>
      <c r="AC407" s="81" t="n"/>
      <c r="AD407" s="81" t="n"/>
      <c r="AE407" s="81" t="n"/>
      <c r="AF407" s="81" t="n"/>
      <c r="AG407" s="81" t="n"/>
      <c r="AH407" s="113" t="n"/>
      <c r="AI407" s="81" t="n"/>
      <c r="AJ407" s="81" t="n"/>
      <c r="AK407" s="113" t="n"/>
      <c r="AL407" s="81" t="n"/>
      <c r="AM407" s="81" t="n"/>
      <c r="AN407" s="81" t="n"/>
      <c r="AO407" s="113" t="n"/>
      <c r="AP407" s="113" t="n"/>
      <c r="AQ407" s="81" t="n"/>
      <c r="AR407" s="113" t="n"/>
      <c r="AS407" s="113" t="n"/>
      <c r="AT407" s="114" t="n"/>
      <c r="AU407" s="81" t="n"/>
      <c r="AV407" s="114" t="n"/>
      <c r="AW407" s="114" t="n"/>
      <c r="AX407" s="81" t="n"/>
      <c r="AY407" s="113" t="n"/>
      <c r="AZ407" s="115">
        <f>IF($B407="","",COUNTIF(References!$A$4:$A$503,$A407))</f>
        <v/>
      </c>
      <c r="BA407" s="115">
        <f>IF($B407="","",(LEN(A407)=0)+(LEN(B407)=0)+(LEN(D407)=0)+(LEN(G407)=0)+(LEN(H407)=0)+(LEN(I407)=0)+(LEN(J407)=0)+(LEN(L407)=0)+(LEN(M407)=0)+(LEN(O407)=0)+(LEN(R407)=0)+(LEN(X407)=0)+(LEN(AI407)=0)+(LEN(AJ407)=0)+(LEN(AQ407)=0)+(LEN(AR407)=0)+(LEN(AT407)=0)+(LEN(AU407)=0)+(LEN(AV407)=0)+(LEN(AX407)=0))</f>
        <v/>
      </c>
      <c r="BB407" s="115">
        <f>IF($B407="","",IF(AND(BA407=0,AZ407&gt;=1),"Complete","Incomplete"))</f>
        <v/>
      </c>
    </row>
    <row r="408" ht="15" customHeight="1" s="62">
      <c r="A408" s="81" t="n"/>
      <c r="B408" s="113" t="n"/>
      <c r="C408" s="81" t="n"/>
      <c r="D408" s="81" t="n"/>
      <c r="E408" s="81" t="n"/>
      <c r="F408" s="81" t="n"/>
      <c r="G408" s="81" t="n"/>
      <c r="H408" s="81" t="n"/>
      <c r="I408" s="81" t="n"/>
      <c r="J408" s="81" t="n"/>
      <c r="K408" s="81" t="n"/>
      <c r="L408" s="113" t="n"/>
      <c r="M408" s="81" t="n"/>
      <c r="N408" s="81" t="n"/>
      <c r="O408" s="81" t="n"/>
      <c r="P408" s="81" t="n"/>
      <c r="Q408" s="113" t="n"/>
      <c r="R408" s="113" t="n"/>
      <c r="S408" s="113" t="n"/>
      <c r="T408" s="81" t="n"/>
      <c r="U408" s="81" t="n"/>
      <c r="V408" s="113" t="n"/>
      <c r="W408" s="81" t="n"/>
      <c r="X408" s="81" t="n"/>
      <c r="Y408" s="81" t="n"/>
      <c r="Z408" s="81" t="n"/>
      <c r="AA408" s="81" t="n"/>
      <c r="AB408" s="81" t="n"/>
      <c r="AC408" s="81" t="n"/>
      <c r="AD408" s="81" t="n"/>
      <c r="AE408" s="81" t="n"/>
      <c r="AF408" s="81" t="n"/>
      <c r="AG408" s="81" t="n"/>
      <c r="AH408" s="113" t="n"/>
      <c r="AI408" s="81" t="n"/>
      <c r="AJ408" s="81" t="n"/>
      <c r="AK408" s="113" t="n"/>
      <c r="AL408" s="81" t="n"/>
      <c r="AM408" s="81" t="n"/>
      <c r="AN408" s="81" t="n"/>
      <c r="AO408" s="113" t="n"/>
      <c r="AP408" s="113" t="n"/>
      <c r="AQ408" s="81" t="n"/>
      <c r="AR408" s="113" t="n"/>
      <c r="AS408" s="113" t="n"/>
      <c r="AT408" s="114" t="n"/>
      <c r="AU408" s="81" t="n"/>
      <c r="AV408" s="114" t="n"/>
      <c r="AW408" s="114" t="n"/>
      <c r="AX408" s="81" t="n"/>
      <c r="AY408" s="113" t="n"/>
      <c r="AZ408" s="115">
        <f>IF($B408="","",COUNTIF(References!$A$4:$A$503,$A408))</f>
        <v/>
      </c>
      <c r="BA408" s="115">
        <f>IF($B408="","",(LEN(A408)=0)+(LEN(B408)=0)+(LEN(D408)=0)+(LEN(G408)=0)+(LEN(H408)=0)+(LEN(I408)=0)+(LEN(J408)=0)+(LEN(L408)=0)+(LEN(M408)=0)+(LEN(O408)=0)+(LEN(R408)=0)+(LEN(X408)=0)+(LEN(AI408)=0)+(LEN(AJ408)=0)+(LEN(AQ408)=0)+(LEN(AR408)=0)+(LEN(AT408)=0)+(LEN(AU408)=0)+(LEN(AV408)=0)+(LEN(AX408)=0))</f>
        <v/>
      </c>
      <c r="BB408" s="115">
        <f>IF($B408="","",IF(AND(BA408=0,AZ408&gt;=1),"Complete","Incomplete"))</f>
        <v/>
      </c>
    </row>
    <row r="409" ht="15" customHeight="1" s="62">
      <c r="A409" s="81" t="n"/>
      <c r="B409" s="113" t="n"/>
      <c r="C409" s="81" t="n"/>
      <c r="D409" s="81" t="n"/>
      <c r="E409" s="81" t="n"/>
      <c r="F409" s="81" t="n"/>
      <c r="G409" s="81" t="n"/>
      <c r="H409" s="81" t="n"/>
      <c r="I409" s="81" t="n"/>
      <c r="J409" s="81" t="n"/>
      <c r="K409" s="81" t="n"/>
      <c r="L409" s="113" t="n"/>
      <c r="M409" s="81" t="n"/>
      <c r="N409" s="81" t="n"/>
      <c r="O409" s="81" t="n"/>
      <c r="P409" s="81" t="n"/>
      <c r="Q409" s="113" t="n"/>
      <c r="R409" s="113" t="n"/>
      <c r="S409" s="113" t="n"/>
      <c r="T409" s="81" t="n"/>
      <c r="U409" s="81" t="n"/>
      <c r="V409" s="113" t="n"/>
      <c r="W409" s="81" t="n"/>
      <c r="X409" s="81" t="n"/>
      <c r="Y409" s="81" t="n"/>
      <c r="Z409" s="81" t="n"/>
      <c r="AA409" s="81" t="n"/>
      <c r="AB409" s="81" t="n"/>
      <c r="AC409" s="81" t="n"/>
      <c r="AD409" s="81" t="n"/>
      <c r="AE409" s="81" t="n"/>
      <c r="AF409" s="81" t="n"/>
      <c r="AG409" s="81" t="n"/>
      <c r="AH409" s="113" t="n"/>
      <c r="AI409" s="81" t="n"/>
      <c r="AJ409" s="81" t="n"/>
      <c r="AK409" s="113" t="n"/>
      <c r="AL409" s="81" t="n"/>
      <c r="AM409" s="81" t="n"/>
      <c r="AN409" s="81" t="n"/>
      <c r="AO409" s="113" t="n"/>
      <c r="AP409" s="113" t="n"/>
      <c r="AQ409" s="81" t="n"/>
      <c r="AR409" s="113" t="n"/>
      <c r="AS409" s="113" t="n"/>
      <c r="AT409" s="114" t="n"/>
      <c r="AU409" s="81" t="n"/>
      <c r="AV409" s="114" t="n"/>
      <c r="AW409" s="114" t="n"/>
      <c r="AX409" s="81" t="n"/>
      <c r="AY409" s="113" t="n"/>
      <c r="AZ409" s="115">
        <f>IF($B409="","",COUNTIF(References!$A$4:$A$503,$A409))</f>
        <v/>
      </c>
      <c r="BA409" s="115">
        <f>IF($B409="","",(LEN(A409)=0)+(LEN(B409)=0)+(LEN(D409)=0)+(LEN(G409)=0)+(LEN(H409)=0)+(LEN(I409)=0)+(LEN(J409)=0)+(LEN(L409)=0)+(LEN(M409)=0)+(LEN(O409)=0)+(LEN(R409)=0)+(LEN(X409)=0)+(LEN(AI409)=0)+(LEN(AJ409)=0)+(LEN(AQ409)=0)+(LEN(AR409)=0)+(LEN(AT409)=0)+(LEN(AU409)=0)+(LEN(AV409)=0)+(LEN(AX409)=0))</f>
        <v/>
      </c>
      <c r="BB409" s="115">
        <f>IF($B409="","",IF(AND(BA409=0,AZ409&gt;=1),"Complete","Incomplete"))</f>
        <v/>
      </c>
    </row>
    <row r="410" ht="15" customHeight="1" s="62">
      <c r="A410" s="81" t="n"/>
      <c r="B410" s="113" t="n"/>
      <c r="C410" s="81" t="n"/>
      <c r="D410" s="81" t="n"/>
      <c r="E410" s="81" t="n"/>
      <c r="F410" s="81" t="n"/>
      <c r="G410" s="81" t="n"/>
      <c r="H410" s="81" t="n"/>
      <c r="I410" s="81" t="n"/>
      <c r="J410" s="81" t="n"/>
      <c r="K410" s="81" t="n"/>
      <c r="L410" s="113" t="n"/>
      <c r="M410" s="81" t="n"/>
      <c r="N410" s="81" t="n"/>
      <c r="O410" s="81" t="n"/>
      <c r="P410" s="81" t="n"/>
      <c r="Q410" s="113" t="n"/>
      <c r="R410" s="113" t="n"/>
      <c r="S410" s="113" t="n"/>
      <c r="T410" s="81" t="n"/>
      <c r="U410" s="81" t="n"/>
      <c r="V410" s="113" t="n"/>
      <c r="W410" s="81" t="n"/>
      <c r="X410" s="81" t="n"/>
      <c r="Y410" s="81" t="n"/>
      <c r="Z410" s="81" t="n"/>
      <c r="AA410" s="81" t="n"/>
      <c r="AB410" s="81" t="n"/>
      <c r="AC410" s="81" t="n"/>
      <c r="AD410" s="81" t="n"/>
      <c r="AE410" s="81" t="n"/>
      <c r="AF410" s="81" t="n"/>
      <c r="AG410" s="81" t="n"/>
      <c r="AH410" s="113" t="n"/>
      <c r="AI410" s="81" t="n"/>
      <c r="AJ410" s="81" t="n"/>
      <c r="AK410" s="113" t="n"/>
      <c r="AL410" s="81" t="n"/>
      <c r="AM410" s="81" t="n"/>
      <c r="AN410" s="81" t="n"/>
      <c r="AO410" s="113" t="n"/>
      <c r="AP410" s="113" t="n"/>
      <c r="AQ410" s="81" t="n"/>
      <c r="AR410" s="113" t="n"/>
      <c r="AS410" s="113" t="n"/>
      <c r="AT410" s="114" t="n"/>
      <c r="AU410" s="81" t="n"/>
      <c r="AV410" s="114" t="n"/>
      <c r="AW410" s="114" t="n"/>
      <c r="AX410" s="81" t="n"/>
      <c r="AY410" s="113" t="n"/>
      <c r="AZ410" s="115">
        <f>IF($B410="","",COUNTIF(References!$A$4:$A$503,$A410))</f>
        <v/>
      </c>
      <c r="BA410" s="115">
        <f>IF($B410="","",(LEN(A410)=0)+(LEN(B410)=0)+(LEN(D410)=0)+(LEN(G410)=0)+(LEN(H410)=0)+(LEN(I410)=0)+(LEN(J410)=0)+(LEN(L410)=0)+(LEN(M410)=0)+(LEN(O410)=0)+(LEN(R410)=0)+(LEN(X410)=0)+(LEN(AI410)=0)+(LEN(AJ410)=0)+(LEN(AQ410)=0)+(LEN(AR410)=0)+(LEN(AT410)=0)+(LEN(AU410)=0)+(LEN(AV410)=0)+(LEN(AX410)=0))</f>
        <v/>
      </c>
      <c r="BB410" s="115">
        <f>IF($B410="","",IF(AND(BA410=0,AZ410&gt;=1),"Complete","Incomplete"))</f>
        <v/>
      </c>
    </row>
    <row r="411" ht="15" customHeight="1" s="62">
      <c r="A411" s="81" t="n"/>
      <c r="B411" s="113" t="n"/>
      <c r="C411" s="81" t="n"/>
      <c r="D411" s="81" t="n"/>
      <c r="E411" s="81" t="n"/>
      <c r="F411" s="81" t="n"/>
      <c r="G411" s="81" t="n"/>
      <c r="H411" s="81" t="n"/>
      <c r="I411" s="81" t="n"/>
      <c r="J411" s="81" t="n"/>
      <c r="K411" s="81" t="n"/>
      <c r="L411" s="113" t="n"/>
      <c r="M411" s="81" t="n"/>
      <c r="N411" s="81" t="n"/>
      <c r="O411" s="81" t="n"/>
      <c r="P411" s="81" t="n"/>
      <c r="Q411" s="113" t="n"/>
      <c r="R411" s="113" t="n"/>
      <c r="S411" s="113" t="n"/>
      <c r="T411" s="81" t="n"/>
      <c r="U411" s="81" t="n"/>
      <c r="V411" s="113" t="n"/>
      <c r="W411" s="81" t="n"/>
      <c r="X411" s="81" t="n"/>
      <c r="Y411" s="81" t="n"/>
      <c r="Z411" s="81" t="n"/>
      <c r="AA411" s="81" t="n"/>
      <c r="AB411" s="81" t="n"/>
      <c r="AC411" s="81" t="n"/>
      <c r="AD411" s="81" t="n"/>
      <c r="AE411" s="81" t="n"/>
      <c r="AF411" s="81" t="n"/>
      <c r="AG411" s="81" t="n"/>
      <c r="AH411" s="113" t="n"/>
      <c r="AI411" s="81" t="n"/>
      <c r="AJ411" s="81" t="n"/>
      <c r="AK411" s="113" t="n"/>
      <c r="AL411" s="81" t="n"/>
      <c r="AM411" s="81" t="n"/>
      <c r="AN411" s="81" t="n"/>
      <c r="AO411" s="113" t="n"/>
      <c r="AP411" s="113" t="n"/>
      <c r="AQ411" s="81" t="n"/>
      <c r="AR411" s="113" t="n"/>
      <c r="AS411" s="113" t="n"/>
      <c r="AT411" s="114" t="n"/>
      <c r="AU411" s="81" t="n"/>
      <c r="AV411" s="114" t="n"/>
      <c r="AW411" s="114" t="n"/>
      <c r="AX411" s="81" t="n"/>
      <c r="AY411" s="113" t="n"/>
      <c r="AZ411" s="115">
        <f>IF($B411="","",COUNTIF(References!$A$4:$A$503,$A411))</f>
        <v/>
      </c>
      <c r="BA411" s="115">
        <f>IF($B411="","",(LEN(A411)=0)+(LEN(B411)=0)+(LEN(D411)=0)+(LEN(G411)=0)+(LEN(H411)=0)+(LEN(I411)=0)+(LEN(J411)=0)+(LEN(L411)=0)+(LEN(M411)=0)+(LEN(O411)=0)+(LEN(R411)=0)+(LEN(X411)=0)+(LEN(AI411)=0)+(LEN(AJ411)=0)+(LEN(AQ411)=0)+(LEN(AR411)=0)+(LEN(AT411)=0)+(LEN(AU411)=0)+(LEN(AV411)=0)+(LEN(AX411)=0))</f>
        <v/>
      </c>
      <c r="BB411" s="115">
        <f>IF($B411="","",IF(AND(BA411=0,AZ411&gt;=1),"Complete","Incomplete"))</f>
        <v/>
      </c>
    </row>
    <row r="412" ht="15" customHeight="1" s="62">
      <c r="A412" s="81" t="n"/>
      <c r="B412" s="113" t="n"/>
      <c r="C412" s="81" t="n"/>
      <c r="D412" s="81" t="n"/>
      <c r="E412" s="81" t="n"/>
      <c r="F412" s="81" t="n"/>
      <c r="G412" s="81" t="n"/>
      <c r="H412" s="81" t="n"/>
      <c r="I412" s="81" t="n"/>
      <c r="J412" s="81" t="n"/>
      <c r="K412" s="81" t="n"/>
      <c r="L412" s="113" t="n"/>
      <c r="M412" s="81" t="n"/>
      <c r="N412" s="81" t="n"/>
      <c r="O412" s="81" t="n"/>
      <c r="P412" s="81" t="n"/>
      <c r="Q412" s="113" t="n"/>
      <c r="R412" s="113" t="n"/>
      <c r="S412" s="113" t="n"/>
      <c r="T412" s="81" t="n"/>
      <c r="U412" s="81" t="n"/>
      <c r="V412" s="113" t="n"/>
      <c r="W412" s="81" t="n"/>
      <c r="X412" s="81" t="n"/>
      <c r="Y412" s="81" t="n"/>
      <c r="Z412" s="81" t="n"/>
      <c r="AA412" s="81" t="n"/>
      <c r="AB412" s="81" t="n"/>
      <c r="AC412" s="81" t="n"/>
      <c r="AD412" s="81" t="n"/>
      <c r="AE412" s="81" t="n"/>
      <c r="AF412" s="81" t="n"/>
      <c r="AG412" s="81" t="n"/>
      <c r="AH412" s="113" t="n"/>
      <c r="AI412" s="81" t="n"/>
      <c r="AJ412" s="81" t="n"/>
      <c r="AK412" s="113" t="n"/>
      <c r="AL412" s="81" t="n"/>
      <c r="AM412" s="81" t="n"/>
      <c r="AN412" s="81" t="n"/>
      <c r="AO412" s="113" t="n"/>
      <c r="AP412" s="113" t="n"/>
      <c r="AQ412" s="81" t="n"/>
      <c r="AR412" s="113" t="n"/>
      <c r="AS412" s="113" t="n"/>
      <c r="AT412" s="114" t="n"/>
      <c r="AU412" s="81" t="n"/>
      <c r="AV412" s="114" t="n"/>
      <c r="AW412" s="114" t="n"/>
      <c r="AX412" s="81" t="n"/>
      <c r="AY412" s="113" t="n"/>
      <c r="AZ412" s="115">
        <f>IF($B412="","",COUNTIF(References!$A$4:$A$503,$A412))</f>
        <v/>
      </c>
      <c r="BA412" s="115">
        <f>IF($B412="","",(LEN(A412)=0)+(LEN(B412)=0)+(LEN(D412)=0)+(LEN(G412)=0)+(LEN(H412)=0)+(LEN(I412)=0)+(LEN(J412)=0)+(LEN(L412)=0)+(LEN(M412)=0)+(LEN(O412)=0)+(LEN(R412)=0)+(LEN(X412)=0)+(LEN(AI412)=0)+(LEN(AJ412)=0)+(LEN(AQ412)=0)+(LEN(AR412)=0)+(LEN(AT412)=0)+(LEN(AU412)=0)+(LEN(AV412)=0)+(LEN(AX412)=0))</f>
        <v/>
      </c>
      <c r="BB412" s="115">
        <f>IF($B412="","",IF(AND(BA412=0,AZ412&gt;=1),"Complete","Incomplete"))</f>
        <v/>
      </c>
    </row>
    <row r="413" ht="15" customHeight="1" s="62">
      <c r="A413" s="81" t="n"/>
      <c r="B413" s="113" t="n"/>
      <c r="C413" s="81" t="n"/>
      <c r="D413" s="81" t="n"/>
      <c r="E413" s="81" t="n"/>
      <c r="F413" s="81" t="n"/>
      <c r="G413" s="81" t="n"/>
      <c r="H413" s="81" t="n"/>
      <c r="I413" s="81" t="n"/>
      <c r="J413" s="81" t="n"/>
      <c r="K413" s="81" t="n"/>
      <c r="L413" s="113" t="n"/>
      <c r="M413" s="81" t="n"/>
      <c r="N413" s="81" t="n"/>
      <c r="O413" s="81" t="n"/>
      <c r="P413" s="81" t="n"/>
      <c r="Q413" s="113" t="n"/>
      <c r="R413" s="113" t="n"/>
      <c r="S413" s="113" t="n"/>
      <c r="T413" s="81" t="n"/>
      <c r="U413" s="81" t="n"/>
      <c r="V413" s="113" t="n"/>
      <c r="W413" s="81" t="n"/>
      <c r="X413" s="81" t="n"/>
      <c r="Y413" s="81" t="n"/>
      <c r="Z413" s="81" t="n"/>
      <c r="AA413" s="81" t="n"/>
      <c r="AB413" s="81" t="n"/>
      <c r="AC413" s="81" t="n"/>
      <c r="AD413" s="81" t="n"/>
      <c r="AE413" s="81" t="n"/>
      <c r="AF413" s="81" t="n"/>
      <c r="AG413" s="81" t="n"/>
      <c r="AH413" s="113" t="n"/>
      <c r="AI413" s="81" t="n"/>
      <c r="AJ413" s="81" t="n"/>
      <c r="AK413" s="113" t="n"/>
      <c r="AL413" s="81" t="n"/>
      <c r="AM413" s="81" t="n"/>
      <c r="AN413" s="81" t="n"/>
      <c r="AO413" s="113" t="n"/>
      <c r="AP413" s="113" t="n"/>
      <c r="AQ413" s="81" t="n"/>
      <c r="AR413" s="113" t="n"/>
      <c r="AS413" s="113" t="n"/>
      <c r="AT413" s="114" t="n"/>
      <c r="AU413" s="81" t="n"/>
      <c r="AV413" s="114" t="n"/>
      <c r="AW413" s="114" t="n"/>
      <c r="AX413" s="81" t="n"/>
      <c r="AY413" s="113" t="n"/>
      <c r="AZ413" s="115">
        <f>IF($B413="","",COUNTIF(References!$A$4:$A$503,$A413))</f>
        <v/>
      </c>
      <c r="BA413" s="115">
        <f>IF($B413="","",(LEN(A413)=0)+(LEN(B413)=0)+(LEN(D413)=0)+(LEN(G413)=0)+(LEN(H413)=0)+(LEN(I413)=0)+(LEN(J413)=0)+(LEN(L413)=0)+(LEN(M413)=0)+(LEN(O413)=0)+(LEN(R413)=0)+(LEN(X413)=0)+(LEN(AI413)=0)+(LEN(AJ413)=0)+(LEN(AQ413)=0)+(LEN(AR413)=0)+(LEN(AT413)=0)+(LEN(AU413)=0)+(LEN(AV413)=0)+(LEN(AX413)=0))</f>
        <v/>
      </c>
      <c r="BB413" s="115">
        <f>IF($B413="","",IF(AND(BA413=0,AZ413&gt;=1),"Complete","Incomplete"))</f>
        <v/>
      </c>
    </row>
    <row r="414" ht="15" customHeight="1" s="62">
      <c r="A414" s="81" t="n"/>
      <c r="B414" s="113" t="n"/>
      <c r="C414" s="81" t="n"/>
      <c r="D414" s="81" t="n"/>
      <c r="E414" s="81" t="n"/>
      <c r="F414" s="81" t="n"/>
      <c r="G414" s="81" t="n"/>
      <c r="H414" s="81" t="n"/>
      <c r="I414" s="81" t="n"/>
      <c r="J414" s="81" t="n"/>
      <c r="K414" s="81" t="n"/>
      <c r="L414" s="113" t="n"/>
      <c r="M414" s="81" t="n"/>
      <c r="N414" s="81" t="n"/>
      <c r="O414" s="81" t="n"/>
      <c r="P414" s="81" t="n"/>
      <c r="Q414" s="113" t="n"/>
      <c r="R414" s="113" t="n"/>
      <c r="S414" s="113" t="n"/>
      <c r="T414" s="81" t="n"/>
      <c r="U414" s="81" t="n"/>
      <c r="V414" s="113" t="n"/>
      <c r="W414" s="81" t="n"/>
      <c r="X414" s="81" t="n"/>
      <c r="Y414" s="81" t="n"/>
      <c r="Z414" s="81" t="n"/>
      <c r="AA414" s="81" t="n"/>
      <c r="AB414" s="81" t="n"/>
      <c r="AC414" s="81" t="n"/>
      <c r="AD414" s="81" t="n"/>
      <c r="AE414" s="81" t="n"/>
      <c r="AF414" s="81" t="n"/>
      <c r="AG414" s="81" t="n"/>
      <c r="AH414" s="113" t="n"/>
      <c r="AI414" s="81" t="n"/>
      <c r="AJ414" s="81" t="n"/>
      <c r="AK414" s="113" t="n"/>
      <c r="AL414" s="81" t="n"/>
      <c r="AM414" s="81" t="n"/>
      <c r="AN414" s="81" t="n"/>
      <c r="AO414" s="113" t="n"/>
      <c r="AP414" s="113" t="n"/>
      <c r="AQ414" s="81" t="n"/>
      <c r="AR414" s="113" t="n"/>
      <c r="AS414" s="113" t="n"/>
      <c r="AT414" s="114" t="n"/>
      <c r="AU414" s="81" t="n"/>
      <c r="AV414" s="114" t="n"/>
      <c r="AW414" s="114" t="n"/>
      <c r="AX414" s="81" t="n"/>
      <c r="AY414" s="113" t="n"/>
      <c r="AZ414" s="115">
        <f>IF($B414="","",COUNTIF(References!$A$4:$A$503,$A414))</f>
        <v/>
      </c>
      <c r="BA414" s="115">
        <f>IF($B414="","",(LEN(A414)=0)+(LEN(B414)=0)+(LEN(D414)=0)+(LEN(G414)=0)+(LEN(H414)=0)+(LEN(I414)=0)+(LEN(J414)=0)+(LEN(L414)=0)+(LEN(M414)=0)+(LEN(O414)=0)+(LEN(R414)=0)+(LEN(X414)=0)+(LEN(AI414)=0)+(LEN(AJ414)=0)+(LEN(AQ414)=0)+(LEN(AR414)=0)+(LEN(AT414)=0)+(LEN(AU414)=0)+(LEN(AV414)=0)+(LEN(AX414)=0))</f>
        <v/>
      </c>
      <c r="BB414" s="115">
        <f>IF($B414="","",IF(AND(BA414=0,AZ414&gt;=1),"Complete","Incomplete"))</f>
        <v/>
      </c>
    </row>
    <row r="415" ht="15" customHeight="1" s="62">
      <c r="A415" s="81" t="n"/>
      <c r="B415" s="113" t="n"/>
      <c r="C415" s="81" t="n"/>
      <c r="D415" s="81" t="n"/>
      <c r="E415" s="81" t="n"/>
      <c r="F415" s="81" t="n"/>
      <c r="G415" s="81" t="n"/>
      <c r="H415" s="81" t="n"/>
      <c r="I415" s="81" t="n"/>
      <c r="J415" s="81" t="n"/>
      <c r="K415" s="81" t="n"/>
      <c r="L415" s="113" t="n"/>
      <c r="M415" s="81" t="n"/>
      <c r="N415" s="81" t="n"/>
      <c r="O415" s="81" t="n"/>
      <c r="P415" s="81" t="n"/>
      <c r="Q415" s="113" t="n"/>
      <c r="R415" s="113" t="n"/>
      <c r="S415" s="113" t="n"/>
      <c r="T415" s="81" t="n"/>
      <c r="U415" s="81" t="n"/>
      <c r="V415" s="113" t="n"/>
      <c r="W415" s="81" t="n"/>
      <c r="X415" s="81" t="n"/>
      <c r="Y415" s="81" t="n"/>
      <c r="Z415" s="81" t="n"/>
      <c r="AA415" s="81" t="n"/>
      <c r="AB415" s="81" t="n"/>
      <c r="AC415" s="81" t="n"/>
      <c r="AD415" s="81" t="n"/>
      <c r="AE415" s="81" t="n"/>
      <c r="AF415" s="81" t="n"/>
      <c r="AG415" s="81" t="n"/>
      <c r="AH415" s="113" t="n"/>
      <c r="AI415" s="81" t="n"/>
      <c r="AJ415" s="81" t="n"/>
      <c r="AK415" s="113" t="n"/>
      <c r="AL415" s="81" t="n"/>
      <c r="AM415" s="81" t="n"/>
      <c r="AN415" s="81" t="n"/>
      <c r="AO415" s="113" t="n"/>
      <c r="AP415" s="113" t="n"/>
      <c r="AQ415" s="81" t="n"/>
      <c r="AR415" s="113" t="n"/>
      <c r="AS415" s="113" t="n"/>
      <c r="AT415" s="114" t="n"/>
      <c r="AU415" s="81" t="n"/>
      <c r="AV415" s="114" t="n"/>
      <c r="AW415" s="114" t="n"/>
      <c r="AX415" s="81" t="n"/>
      <c r="AY415" s="113" t="n"/>
      <c r="AZ415" s="115">
        <f>IF($B415="","",COUNTIF(References!$A$4:$A$503,$A415))</f>
        <v/>
      </c>
      <c r="BA415" s="115">
        <f>IF($B415="","",(LEN(A415)=0)+(LEN(B415)=0)+(LEN(D415)=0)+(LEN(G415)=0)+(LEN(H415)=0)+(LEN(I415)=0)+(LEN(J415)=0)+(LEN(L415)=0)+(LEN(M415)=0)+(LEN(O415)=0)+(LEN(R415)=0)+(LEN(X415)=0)+(LEN(AI415)=0)+(LEN(AJ415)=0)+(LEN(AQ415)=0)+(LEN(AR415)=0)+(LEN(AT415)=0)+(LEN(AU415)=0)+(LEN(AV415)=0)+(LEN(AX415)=0))</f>
        <v/>
      </c>
      <c r="BB415" s="115">
        <f>IF($B415="","",IF(AND(BA415=0,AZ415&gt;=1),"Complete","Incomplete"))</f>
        <v/>
      </c>
    </row>
    <row r="416" ht="15" customHeight="1" s="62">
      <c r="A416" s="81" t="n"/>
      <c r="B416" s="113" t="n"/>
      <c r="C416" s="81" t="n"/>
      <c r="D416" s="81" t="n"/>
      <c r="E416" s="81" t="n"/>
      <c r="F416" s="81" t="n"/>
      <c r="G416" s="81" t="n"/>
      <c r="H416" s="81" t="n"/>
      <c r="I416" s="81" t="n"/>
      <c r="J416" s="81" t="n"/>
      <c r="K416" s="81" t="n"/>
      <c r="L416" s="113" t="n"/>
      <c r="M416" s="81" t="n"/>
      <c r="N416" s="81" t="n"/>
      <c r="O416" s="81" t="n"/>
      <c r="P416" s="81" t="n"/>
      <c r="Q416" s="113" t="n"/>
      <c r="R416" s="113" t="n"/>
      <c r="S416" s="113" t="n"/>
      <c r="T416" s="81" t="n"/>
      <c r="U416" s="81" t="n"/>
      <c r="V416" s="113" t="n"/>
      <c r="W416" s="81" t="n"/>
      <c r="X416" s="81" t="n"/>
      <c r="Y416" s="81" t="n"/>
      <c r="Z416" s="81" t="n"/>
      <c r="AA416" s="81" t="n"/>
      <c r="AB416" s="81" t="n"/>
      <c r="AC416" s="81" t="n"/>
      <c r="AD416" s="81" t="n"/>
      <c r="AE416" s="81" t="n"/>
      <c r="AF416" s="81" t="n"/>
      <c r="AG416" s="81" t="n"/>
      <c r="AH416" s="113" t="n"/>
      <c r="AI416" s="81" t="n"/>
      <c r="AJ416" s="81" t="n"/>
      <c r="AK416" s="113" t="n"/>
      <c r="AL416" s="81" t="n"/>
      <c r="AM416" s="81" t="n"/>
      <c r="AN416" s="81" t="n"/>
      <c r="AO416" s="113" t="n"/>
      <c r="AP416" s="113" t="n"/>
      <c r="AQ416" s="81" t="n"/>
      <c r="AR416" s="113" t="n"/>
      <c r="AS416" s="113" t="n"/>
      <c r="AT416" s="114" t="n"/>
      <c r="AU416" s="81" t="n"/>
      <c r="AV416" s="114" t="n"/>
      <c r="AW416" s="114" t="n"/>
      <c r="AX416" s="81" t="n"/>
      <c r="AY416" s="113" t="n"/>
      <c r="AZ416" s="115">
        <f>IF($B416="","",COUNTIF(References!$A$4:$A$503,$A416))</f>
        <v/>
      </c>
      <c r="BA416" s="115">
        <f>IF($B416="","",(LEN(A416)=0)+(LEN(B416)=0)+(LEN(D416)=0)+(LEN(G416)=0)+(LEN(H416)=0)+(LEN(I416)=0)+(LEN(J416)=0)+(LEN(L416)=0)+(LEN(M416)=0)+(LEN(O416)=0)+(LEN(R416)=0)+(LEN(X416)=0)+(LEN(AI416)=0)+(LEN(AJ416)=0)+(LEN(AQ416)=0)+(LEN(AR416)=0)+(LEN(AT416)=0)+(LEN(AU416)=0)+(LEN(AV416)=0)+(LEN(AX416)=0))</f>
        <v/>
      </c>
      <c r="BB416" s="115">
        <f>IF($B416="","",IF(AND(BA416=0,AZ416&gt;=1),"Complete","Incomplete"))</f>
        <v/>
      </c>
    </row>
    <row r="417" ht="15" customHeight="1" s="62">
      <c r="A417" s="81" t="n"/>
      <c r="B417" s="113" t="n"/>
      <c r="C417" s="81" t="n"/>
      <c r="D417" s="81" t="n"/>
      <c r="E417" s="81" t="n"/>
      <c r="F417" s="81" t="n"/>
      <c r="G417" s="81" t="n"/>
      <c r="H417" s="81" t="n"/>
      <c r="I417" s="81" t="n"/>
      <c r="J417" s="81" t="n"/>
      <c r="K417" s="81" t="n"/>
      <c r="L417" s="113" t="n"/>
      <c r="M417" s="81" t="n"/>
      <c r="N417" s="81" t="n"/>
      <c r="O417" s="81" t="n"/>
      <c r="P417" s="81" t="n"/>
      <c r="Q417" s="113" t="n"/>
      <c r="R417" s="113" t="n"/>
      <c r="S417" s="113" t="n"/>
      <c r="T417" s="81" t="n"/>
      <c r="U417" s="81" t="n"/>
      <c r="V417" s="113" t="n"/>
      <c r="W417" s="81" t="n"/>
      <c r="X417" s="81" t="n"/>
      <c r="Y417" s="81" t="n"/>
      <c r="Z417" s="81" t="n"/>
      <c r="AA417" s="81" t="n"/>
      <c r="AB417" s="81" t="n"/>
      <c r="AC417" s="81" t="n"/>
      <c r="AD417" s="81" t="n"/>
      <c r="AE417" s="81" t="n"/>
      <c r="AF417" s="81" t="n"/>
      <c r="AG417" s="81" t="n"/>
      <c r="AH417" s="113" t="n"/>
      <c r="AI417" s="81" t="n"/>
      <c r="AJ417" s="81" t="n"/>
      <c r="AK417" s="113" t="n"/>
      <c r="AL417" s="81" t="n"/>
      <c r="AM417" s="81" t="n"/>
      <c r="AN417" s="81" t="n"/>
      <c r="AO417" s="113" t="n"/>
      <c r="AP417" s="113" t="n"/>
      <c r="AQ417" s="81" t="n"/>
      <c r="AR417" s="113" t="n"/>
      <c r="AS417" s="113" t="n"/>
      <c r="AT417" s="114" t="n"/>
      <c r="AU417" s="81" t="n"/>
      <c r="AV417" s="114" t="n"/>
      <c r="AW417" s="114" t="n"/>
      <c r="AX417" s="81" t="n"/>
      <c r="AY417" s="113" t="n"/>
      <c r="AZ417" s="115">
        <f>IF($B417="","",COUNTIF(References!$A$4:$A$503,$A417))</f>
        <v/>
      </c>
      <c r="BA417" s="115">
        <f>IF($B417="","",(LEN(A417)=0)+(LEN(B417)=0)+(LEN(D417)=0)+(LEN(G417)=0)+(LEN(H417)=0)+(LEN(I417)=0)+(LEN(J417)=0)+(LEN(L417)=0)+(LEN(M417)=0)+(LEN(O417)=0)+(LEN(R417)=0)+(LEN(X417)=0)+(LEN(AI417)=0)+(LEN(AJ417)=0)+(LEN(AQ417)=0)+(LEN(AR417)=0)+(LEN(AT417)=0)+(LEN(AU417)=0)+(LEN(AV417)=0)+(LEN(AX417)=0))</f>
        <v/>
      </c>
      <c r="BB417" s="115">
        <f>IF($B417="","",IF(AND(BA417=0,AZ417&gt;=1),"Complete","Incomplete"))</f>
        <v/>
      </c>
    </row>
    <row r="418" ht="15" customHeight="1" s="62">
      <c r="A418" s="81" t="n"/>
      <c r="B418" s="113" t="n"/>
      <c r="C418" s="81" t="n"/>
      <c r="D418" s="81" t="n"/>
      <c r="E418" s="81" t="n"/>
      <c r="F418" s="81" t="n"/>
      <c r="G418" s="81" t="n"/>
      <c r="H418" s="81" t="n"/>
      <c r="I418" s="81" t="n"/>
      <c r="J418" s="81" t="n"/>
      <c r="K418" s="81" t="n"/>
      <c r="L418" s="113" t="n"/>
      <c r="M418" s="81" t="n"/>
      <c r="N418" s="81" t="n"/>
      <c r="O418" s="81" t="n"/>
      <c r="P418" s="81" t="n"/>
      <c r="Q418" s="113" t="n"/>
      <c r="R418" s="113" t="n"/>
      <c r="S418" s="113" t="n"/>
      <c r="T418" s="81" t="n"/>
      <c r="U418" s="81" t="n"/>
      <c r="V418" s="113" t="n"/>
      <c r="W418" s="81" t="n"/>
      <c r="X418" s="81" t="n"/>
      <c r="Y418" s="81" t="n"/>
      <c r="Z418" s="81" t="n"/>
      <c r="AA418" s="81" t="n"/>
      <c r="AB418" s="81" t="n"/>
      <c r="AC418" s="81" t="n"/>
      <c r="AD418" s="81" t="n"/>
      <c r="AE418" s="81" t="n"/>
      <c r="AF418" s="81" t="n"/>
      <c r="AG418" s="81" t="n"/>
      <c r="AH418" s="113" t="n"/>
      <c r="AI418" s="81" t="n"/>
      <c r="AJ418" s="81" t="n"/>
      <c r="AK418" s="113" t="n"/>
      <c r="AL418" s="81" t="n"/>
      <c r="AM418" s="81" t="n"/>
      <c r="AN418" s="81" t="n"/>
      <c r="AO418" s="113" t="n"/>
      <c r="AP418" s="113" t="n"/>
      <c r="AQ418" s="81" t="n"/>
      <c r="AR418" s="113" t="n"/>
      <c r="AS418" s="113" t="n"/>
      <c r="AT418" s="114" t="n"/>
      <c r="AU418" s="81" t="n"/>
      <c r="AV418" s="114" t="n"/>
      <c r="AW418" s="114" t="n"/>
      <c r="AX418" s="81" t="n"/>
      <c r="AY418" s="113" t="n"/>
      <c r="AZ418" s="115">
        <f>IF($B418="","",COUNTIF(References!$A$4:$A$503,$A418))</f>
        <v/>
      </c>
      <c r="BA418" s="115">
        <f>IF($B418="","",(LEN(A418)=0)+(LEN(B418)=0)+(LEN(D418)=0)+(LEN(G418)=0)+(LEN(H418)=0)+(LEN(I418)=0)+(LEN(J418)=0)+(LEN(L418)=0)+(LEN(M418)=0)+(LEN(O418)=0)+(LEN(R418)=0)+(LEN(X418)=0)+(LEN(AI418)=0)+(LEN(AJ418)=0)+(LEN(AQ418)=0)+(LEN(AR418)=0)+(LEN(AT418)=0)+(LEN(AU418)=0)+(LEN(AV418)=0)+(LEN(AX418)=0))</f>
        <v/>
      </c>
      <c r="BB418" s="115">
        <f>IF($B418="","",IF(AND(BA418=0,AZ418&gt;=1),"Complete","Incomplete"))</f>
        <v/>
      </c>
    </row>
    <row r="419" ht="15" customHeight="1" s="62">
      <c r="A419" s="81" t="n"/>
      <c r="B419" s="113" t="n"/>
      <c r="C419" s="81" t="n"/>
      <c r="D419" s="81" t="n"/>
      <c r="E419" s="81" t="n"/>
      <c r="F419" s="81" t="n"/>
      <c r="G419" s="81" t="n"/>
      <c r="H419" s="81" t="n"/>
      <c r="I419" s="81" t="n"/>
      <c r="J419" s="81" t="n"/>
      <c r="K419" s="81" t="n"/>
      <c r="L419" s="113" t="n"/>
      <c r="M419" s="81" t="n"/>
      <c r="N419" s="81" t="n"/>
      <c r="O419" s="81" t="n"/>
      <c r="P419" s="81" t="n"/>
      <c r="Q419" s="113" t="n"/>
      <c r="R419" s="113" t="n"/>
      <c r="S419" s="113" t="n"/>
      <c r="T419" s="81" t="n"/>
      <c r="U419" s="81" t="n"/>
      <c r="V419" s="113" t="n"/>
      <c r="W419" s="81" t="n"/>
      <c r="X419" s="81" t="n"/>
      <c r="Y419" s="81" t="n"/>
      <c r="Z419" s="81" t="n"/>
      <c r="AA419" s="81" t="n"/>
      <c r="AB419" s="81" t="n"/>
      <c r="AC419" s="81" t="n"/>
      <c r="AD419" s="81" t="n"/>
      <c r="AE419" s="81" t="n"/>
      <c r="AF419" s="81" t="n"/>
      <c r="AG419" s="81" t="n"/>
      <c r="AH419" s="113" t="n"/>
      <c r="AI419" s="81" t="n"/>
      <c r="AJ419" s="81" t="n"/>
      <c r="AK419" s="113" t="n"/>
      <c r="AL419" s="81" t="n"/>
      <c r="AM419" s="81" t="n"/>
      <c r="AN419" s="81" t="n"/>
      <c r="AO419" s="113" t="n"/>
      <c r="AP419" s="113" t="n"/>
      <c r="AQ419" s="81" t="n"/>
      <c r="AR419" s="113" t="n"/>
      <c r="AS419" s="113" t="n"/>
      <c r="AT419" s="114" t="n"/>
      <c r="AU419" s="81" t="n"/>
      <c r="AV419" s="114" t="n"/>
      <c r="AW419" s="114" t="n"/>
      <c r="AX419" s="81" t="n"/>
      <c r="AY419" s="113" t="n"/>
      <c r="AZ419" s="115">
        <f>IF($B419="","",COUNTIF(References!$A$4:$A$503,$A419))</f>
        <v/>
      </c>
      <c r="BA419" s="115">
        <f>IF($B419="","",(LEN(A419)=0)+(LEN(B419)=0)+(LEN(D419)=0)+(LEN(G419)=0)+(LEN(H419)=0)+(LEN(I419)=0)+(LEN(J419)=0)+(LEN(L419)=0)+(LEN(M419)=0)+(LEN(O419)=0)+(LEN(R419)=0)+(LEN(X419)=0)+(LEN(AI419)=0)+(LEN(AJ419)=0)+(LEN(AQ419)=0)+(LEN(AR419)=0)+(LEN(AT419)=0)+(LEN(AU419)=0)+(LEN(AV419)=0)+(LEN(AX419)=0))</f>
        <v/>
      </c>
      <c r="BB419" s="115">
        <f>IF($B419="","",IF(AND(BA419=0,AZ419&gt;=1),"Complete","Incomplete"))</f>
        <v/>
      </c>
    </row>
    <row r="420" ht="15" customHeight="1" s="62">
      <c r="A420" s="81" t="n"/>
      <c r="B420" s="113" t="n"/>
      <c r="C420" s="81" t="n"/>
      <c r="D420" s="81" t="n"/>
      <c r="E420" s="81" t="n"/>
      <c r="F420" s="81" t="n"/>
      <c r="G420" s="81" t="n"/>
      <c r="H420" s="81" t="n"/>
      <c r="I420" s="81" t="n"/>
      <c r="J420" s="81" t="n"/>
      <c r="K420" s="81" t="n"/>
      <c r="L420" s="113" t="n"/>
      <c r="M420" s="81" t="n"/>
      <c r="N420" s="81" t="n"/>
      <c r="O420" s="81" t="n"/>
      <c r="P420" s="81" t="n"/>
      <c r="Q420" s="113" t="n"/>
      <c r="R420" s="113" t="n"/>
      <c r="S420" s="113" t="n"/>
      <c r="T420" s="81" t="n"/>
      <c r="U420" s="81" t="n"/>
      <c r="V420" s="113" t="n"/>
      <c r="W420" s="81" t="n"/>
      <c r="X420" s="81" t="n"/>
      <c r="Y420" s="81" t="n"/>
      <c r="Z420" s="81" t="n"/>
      <c r="AA420" s="81" t="n"/>
      <c r="AB420" s="81" t="n"/>
      <c r="AC420" s="81" t="n"/>
      <c r="AD420" s="81" t="n"/>
      <c r="AE420" s="81" t="n"/>
      <c r="AF420" s="81" t="n"/>
      <c r="AG420" s="81" t="n"/>
      <c r="AH420" s="113" t="n"/>
      <c r="AI420" s="81" t="n"/>
      <c r="AJ420" s="81" t="n"/>
      <c r="AK420" s="113" t="n"/>
      <c r="AL420" s="81" t="n"/>
      <c r="AM420" s="81" t="n"/>
      <c r="AN420" s="81" t="n"/>
      <c r="AO420" s="113" t="n"/>
      <c r="AP420" s="113" t="n"/>
      <c r="AQ420" s="81" t="n"/>
      <c r="AR420" s="113" t="n"/>
      <c r="AS420" s="113" t="n"/>
      <c r="AT420" s="114" t="n"/>
      <c r="AU420" s="81" t="n"/>
      <c r="AV420" s="114" t="n"/>
      <c r="AW420" s="114" t="n"/>
      <c r="AX420" s="81" t="n"/>
      <c r="AY420" s="113" t="n"/>
      <c r="AZ420" s="115">
        <f>IF($B420="","",COUNTIF(References!$A$4:$A$503,$A420))</f>
        <v/>
      </c>
      <c r="BA420" s="115">
        <f>IF($B420="","",(LEN(A420)=0)+(LEN(B420)=0)+(LEN(D420)=0)+(LEN(G420)=0)+(LEN(H420)=0)+(LEN(I420)=0)+(LEN(J420)=0)+(LEN(L420)=0)+(LEN(M420)=0)+(LEN(O420)=0)+(LEN(R420)=0)+(LEN(X420)=0)+(LEN(AI420)=0)+(LEN(AJ420)=0)+(LEN(AQ420)=0)+(LEN(AR420)=0)+(LEN(AT420)=0)+(LEN(AU420)=0)+(LEN(AV420)=0)+(LEN(AX420)=0))</f>
        <v/>
      </c>
      <c r="BB420" s="115">
        <f>IF($B420="","",IF(AND(BA420=0,AZ420&gt;=1),"Complete","Incomplete"))</f>
        <v/>
      </c>
    </row>
    <row r="421" ht="15" customHeight="1" s="62">
      <c r="A421" s="81" t="n"/>
      <c r="B421" s="113" t="n"/>
      <c r="C421" s="81" t="n"/>
      <c r="D421" s="81" t="n"/>
      <c r="E421" s="81" t="n"/>
      <c r="F421" s="81" t="n"/>
      <c r="G421" s="81" t="n"/>
      <c r="H421" s="81" t="n"/>
      <c r="I421" s="81" t="n"/>
      <c r="J421" s="81" t="n"/>
      <c r="K421" s="81" t="n"/>
      <c r="L421" s="113" t="n"/>
      <c r="M421" s="81" t="n"/>
      <c r="N421" s="81" t="n"/>
      <c r="O421" s="81" t="n"/>
      <c r="P421" s="81" t="n"/>
      <c r="Q421" s="113" t="n"/>
      <c r="R421" s="113" t="n"/>
      <c r="S421" s="113" t="n"/>
      <c r="T421" s="81" t="n"/>
      <c r="U421" s="81" t="n"/>
      <c r="V421" s="113" t="n"/>
      <c r="W421" s="81" t="n"/>
      <c r="X421" s="81" t="n"/>
      <c r="Y421" s="81" t="n"/>
      <c r="Z421" s="81" t="n"/>
      <c r="AA421" s="81" t="n"/>
      <c r="AB421" s="81" t="n"/>
      <c r="AC421" s="81" t="n"/>
      <c r="AD421" s="81" t="n"/>
      <c r="AE421" s="81" t="n"/>
      <c r="AF421" s="81" t="n"/>
      <c r="AG421" s="81" t="n"/>
      <c r="AH421" s="113" t="n"/>
      <c r="AI421" s="81" t="n"/>
      <c r="AJ421" s="81" t="n"/>
      <c r="AK421" s="113" t="n"/>
      <c r="AL421" s="81" t="n"/>
      <c r="AM421" s="81" t="n"/>
      <c r="AN421" s="81" t="n"/>
      <c r="AO421" s="113" t="n"/>
      <c r="AP421" s="113" t="n"/>
      <c r="AQ421" s="81" t="n"/>
      <c r="AR421" s="113" t="n"/>
      <c r="AS421" s="113" t="n"/>
      <c r="AT421" s="114" t="n"/>
      <c r="AU421" s="81" t="n"/>
      <c r="AV421" s="114" t="n"/>
      <c r="AW421" s="114" t="n"/>
      <c r="AX421" s="81" t="n"/>
      <c r="AY421" s="113" t="n"/>
      <c r="AZ421" s="115">
        <f>IF($B421="","",COUNTIF(References!$A$4:$A$503,$A421))</f>
        <v/>
      </c>
      <c r="BA421" s="115">
        <f>IF($B421="","",(LEN(A421)=0)+(LEN(B421)=0)+(LEN(D421)=0)+(LEN(G421)=0)+(LEN(H421)=0)+(LEN(I421)=0)+(LEN(J421)=0)+(LEN(L421)=0)+(LEN(M421)=0)+(LEN(O421)=0)+(LEN(R421)=0)+(LEN(X421)=0)+(LEN(AI421)=0)+(LEN(AJ421)=0)+(LEN(AQ421)=0)+(LEN(AR421)=0)+(LEN(AT421)=0)+(LEN(AU421)=0)+(LEN(AV421)=0)+(LEN(AX421)=0))</f>
        <v/>
      </c>
      <c r="BB421" s="115">
        <f>IF($B421="","",IF(AND(BA421=0,AZ421&gt;=1),"Complete","Incomplete"))</f>
        <v/>
      </c>
    </row>
    <row r="422" ht="15" customHeight="1" s="62">
      <c r="A422" s="81" t="n"/>
      <c r="B422" s="113" t="n"/>
      <c r="C422" s="81" t="n"/>
      <c r="D422" s="81" t="n"/>
      <c r="E422" s="81" t="n"/>
      <c r="F422" s="81" t="n"/>
      <c r="G422" s="81" t="n"/>
      <c r="H422" s="81" t="n"/>
      <c r="I422" s="81" t="n"/>
      <c r="J422" s="81" t="n"/>
      <c r="K422" s="81" t="n"/>
      <c r="L422" s="113" t="n"/>
      <c r="M422" s="81" t="n"/>
      <c r="N422" s="81" t="n"/>
      <c r="O422" s="81" t="n"/>
      <c r="P422" s="81" t="n"/>
      <c r="Q422" s="113" t="n"/>
      <c r="R422" s="113" t="n"/>
      <c r="S422" s="113" t="n"/>
      <c r="T422" s="81" t="n"/>
      <c r="U422" s="81" t="n"/>
      <c r="V422" s="113" t="n"/>
      <c r="W422" s="81" t="n"/>
      <c r="X422" s="81" t="n"/>
      <c r="Y422" s="81" t="n"/>
      <c r="Z422" s="81" t="n"/>
      <c r="AA422" s="81" t="n"/>
      <c r="AB422" s="81" t="n"/>
      <c r="AC422" s="81" t="n"/>
      <c r="AD422" s="81" t="n"/>
      <c r="AE422" s="81" t="n"/>
      <c r="AF422" s="81" t="n"/>
      <c r="AG422" s="81" t="n"/>
      <c r="AH422" s="113" t="n"/>
      <c r="AI422" s="81" t="n"/>
      <c r="AJ422" s="81" t="n"/>
      <c r="AK422" s="113" t="n"/>
      <c r="AL422" s="81" t="n"/>
      <c r="AM422" s="81" t="n"/>
      <c r="AN422" s="81" t="n"/>
      <c r="AO422" s="113" t="n"/>
      <c r="AP422" s="113" t="n"/>
      <c r="AQ422" s="81" t="n"/>
      <c r="AR422" s="113" t="n"/>
      <c r="AS422" s="113" t="n"/>
      <c r="AT422" s="114" t="n"/>
      <c r="AU422" s="81" t="n"/>
      <c r="AV422" s="114" t="n"/>
      <c r="AW422" s="114" t="n"/>
      <c r="AX422" s="81" t="n"/>
      <c r="AY422" s="113" t="n"/>
      <c r="AZ422" s="115">
        <f>IF($B422="","",COUNTIF(References!$A$4:$A$503,$A422))</f>
        <v/>
      </c>
      <c r="BA422" s="115">
        <f>IF($B422="","",(LEN(A422)=0)+(LEN(B422)=0)+(LEN(D422)=0)+(LEN(G422)=0)+(LEN(H422)=0)+(LEN(I422)=0)+(LEN(J422)=0)+(LEN(L422)=0)+(LEN(M422)=0)+(LEN(O422)=0)+(LEN(R422)=0)+(LEN(X422)=0)+(LEN(AI422)=0)+(LEN(AJ422)=0)+(LEN(AQ422)=0)+(LEN(AR422)=0)+(LEN(AT422)=0)+(LEN(AU422)=0)+(LEN(AV422)=0)+(LEN(AX422)=0))</f>
        <v/>
      </c>
      <c r="BB422" s="115">
        <f>IF($B422="","",IF(AND(BA422=0,AZ422&gt;=1),"Complete","Incomplete"))</f>
        <v/>
      </c>
    </row>
    <row r="423" ht="15" customHeight="1" s="62">
      <c r="A423" s="81" t="n"/>
      <c r="B423" s="113" t="n"/>
      <c r="C423" s="81" t="n"/>
      <c r="D423" s="81" t="n"/>
      <c r="E423" s="81" t="n"/>
      <c r="F423" s="81" t="n"/>
      <c r="G423" s="81" t="n"/>
      <c r="H423" s="81" t="n"/>
      <c r="I423" s="81" t="n"/>
      <c r="J423" s="81" t="n"/>
      <c r="K423" s="81" t="n"/>
      <c r="L423" s="113" t="n"/>
      <c r="M423" s="81" t="n"/>
      <c r="N423" s="81" t="n"/>
      <c r="O423" s="81" t="n"/>
      <c r="P423" s="81" t="n"/>
      <c r="Q423" s="113" t="n"/>
      <c r="R423" s="113" t="n"/>
      <c r="S423" s="113" t="n"/>
      <c r="T423" s="81" t="n"/>
      <c r="U423" s="81" t="n"/>
      <c r="V423" s="113" t="n"/>
      <c r="W423" s="81" t="n"/>
      <c r="X423" s="81" t="n"/>
      <c r="Y423" s="81" t="n"/>
      <c r="Z423" s="81" t="n"/>
      <c r="AA423" s="81" t="n"/>
      <c r="AB423" s="81" t="n"/>
      <c r="AC423" s="81" t="n"/>
      <c r="AD423" s="81" t="n"/>
      <c r="AE423" s="81" t="n"/>
      <c r="AF423" s="81" t="n"/>
      <c r="AG423" s="81" t="n"/>
      <c r="AH423" s="113" t="n"/>
      <c r="AI423" s="81" t="n"/>
      <c r="AJ423" s="81" t="n"/>
      <c r="AK423" s="113" t="n"/>
      <c r="AL423" s="81" t="n"/>
      <c r="AM423" s="81" t="n"/>
      <c r="AN423" s="81" t="n"/>
      <c r="AO423" s="113" t="n"/>
      <c r="AP423" s="113" t="n"/>
      <c r="AQ423" s="81" t="n"/>
      <c r="AR423" s="113" t="n"/>
      <c r="AS423" s="113" t="n"/>
      <c r="AT423" s="114" t="n"/>
      <c r="AU423" s="81" t="n"/>
      <c r="AV423" s="114" t="n"/>
      <c r="AW423" s="114" t="n"/>
      <c r="AX423" s="81" t="n"/>
      <c r="AY423" s="113" t="n"/>
      <c r="AZ423" s="115">
        <f>IF($B423="","",COUNTIF(References!$A$4:$A$503,$A423))</f>
        <v/>
      </c>
      <c r="BA423" s="115">
        <f>IF($B423="","",(LEN(A423)=0)+(LEN(B423)=0)+(LEN(D423)=0)+(LEN(G423)=0)+(LEN(H423)=0)+(LEN(I423)=0)+(LEN(J423)=0)+(LEN(L423)=0)+(LEN(M423)=0)+(LEN(O423)=0)+(LEN(R423)=0)+(LEN(X423)=0)+(LEN(AI423)=0)+(LEN(AJ423)=0)+(LEN(AQ423)=0)+(LEN(AR423)=0)+(LEN(AT423)=0)+(LEN(AU423)=0)+(LEN(AV423)=0)+(LEN(AX423)=0))</f>
        <v/>
      </c>
      <c r="BB423" s="115">
        <f>IF($B423="","",IF(AND(BA423=0,AZ423&gt;=1),"Complete","Incomplete"))</f>
        <v/>
      </c>
    </row>
    <row r="424" ht="15" customHeight="1" s="62">
      <c r="A424" s="81" t="n"/>
      <c r="B424" s="113" t="n"/>
      <c r="C424" s="81" t="n"/>
      <c r="D424" s="81" t="n"/>
      <c r="E424" s="81" t="n"/>
      <c r="F424" s="81" t="n"/>
      <c r="G424" s="81" t="n"/>
      <c r="H424" s="81" t="n"/>
      <c r="I424" s="81" t="n"/>
      <c r="J424" s="81" t="n"/>
      <c r="K424" s="81" t="n"/>
      <c r="L424" s="113" t="n"/>
      <c r="M424" s="81" t="n"/>
      <c r="N424" s="81" t="n"/>
      <c r="O424" s="81" t="n"/>
      <c r="P424" s="81" t="n"/>
      <c r="Q424" s="113" t="n"/>
      <c r="R424" s="113" t="n"/>
      <c r="S424" s="113" t="n"/>
      <c r="T424" s="81" t="n"/>
      <c r="U424" s="81" t="n"/>
      <c r="V424" s="113" t="n"/>
      <c r="W424" s="81" t="n"/>
      <c r="X424" s="81" t="n"/>
      <c r="Y424" s="81" t="n"/>
      <c r="Z424" s="81" t="n"/>
      <c r="AA424" s="81" t="n"/>
      <c r="AB424" s="81" t="n"/>
      <c r="AC424" s="81" t="n"/>
      <c r="AD424" s="81" t="n"/>
      <c r="AE424" s="81" t="n"/>
      <c r="AF424" s="81" t="n"/>
      <c r="AG424" s="81" t="n"/>
      <c r="AH424" s="113" t="n"/>
      <c r="AI424" s="81" t="n"/>
      <c r="AJ424" s="81" t="n"/>
      <c r="AK424" s="113" t="n"/>
      <c r="AL424" s="81" t="n"/>
      <c r="AM424" s="81" t="n"/>
      <c r="AN424" s="81" t="n"/>
      <c r="AO424" s="113" t="n"/>
      <c r="AP424" s="113" t="n"/>
      <c r="AQ424" s="81" t="n"/>
      <c r="AR424" s="113" t="n"/>
      <c r="AS424" s="113" t="n"/>
      <c r="AT424" s="114" t="n"/>
      <c r="AU424" s="81" t="n"/>
      <c r="AV424" s="114" t="n"/>
      <c r="AW424" s="114" t="n"/>
      <c r="AX424" s="81" t="n"/>
      <c r="AY424" s="113" t="n"/>
      <c r="AZ424" s="115">
        <f>IF($B424="","",COUNTIF(References!$A$4:$A$503,$A424))</f>
        <v/>
      </c>
      <c r="BA424" s="115">
        <f>IF($B424="","",(LEN(A424)=0)+(LEN(B424)=0)+(LEN(D424)=0)+(LEN(G424)=0)+(LEN(H424)=0)+(LEN(I424)=0)+(LEN(J424)=0)+(LEN(L424)=0)+(LEN(M424)=0)+(LEN(O424)=0)+(LEN(R424)=0)+(LEN(X424)=0)+(LEN(AI424)=0)+(LEN(AJ424)=0)+(LEN(AQ424)=0)+(LEN(AR424)=0)+(LEN(AT424)=0)+(LEN(AU424)=0)+(LEN(AV424)=0)+(LEN(AX424)=0))</f>
        <v/>
      </c>
      <c r="BB424" s="115">
        <f>IF($B424="","",IF(AND(BA424=0,AZ424&gt;=1),"Complete","Incomplete"))</f>
        <v/>
      </c>
    </row>
    <row r="425" ht="15" customHeight="1" s="62">
      <c r="A425" s="81" t="n"/>
      <c r="B425" s="113" t="n"/>
      <c r="C425" s="81" t="n"/>
      <c r="D425" s="81" t="n"/>
      <c r="E425" s="81" t="n"/>
      <c r="F425" s="81" t="n"/>
      <c r="G425" s="81" t="n"/>
      <c r="H425" s="81" t="n"/>
      <c r="I425" s="81" t="n"/>
      <c r="J425" s="81" t="n"/>
      <c r="K425" s="81" t="n"/>
      <c r="L425" s="113" t="n"/>
      <c r="M425" s="81" t="n"/>
      <c r="N425" s="81" t="n"/>
      <c r="O425" s="81" t="n"/>
      <c r="P425" s="81" t="n"/>
      <c r="Q425" s="113" t="n"/>
      <c r="R425" s="113" t="n"/>
      <c r="S425" s="113" t="n"/>
      <c r="T425" s="81" t="n"/>
      <c r="U425" s="81" t="n"/>
      <c r="V425" s="113" t="n"/>
      <c r="W425" s="81" t="n"/>
      <c r="X425" s="81" t="n"/>
      <c r="Y425" s="81" t="n"/>
      <c r="Z425" s="81" t="n"/>
      <c r="AA425" s="81" t="n"/>
      <c r="AB425" s="81" t="n"/>
      <c r="AC425" s="81" t="n"/>
      <c r="AD425" s="81" t="n"/>
      <c r="AE425" s="81" t="n"/>
      <c r="AF425" s="81" t="n"/>
      <c r="AG425" s="81" t="n"/>
      <c r="AH425" s="113" t="n"/>
      <c r="AI425" s="81" t="n"/>
      <c r="AJ425" s="81" t="n"/>
      <c r="AK425" s="113" t="n"/>
      <c r="AL425" s="81" t="n"/>
      <c r="AM425" s="81" t="n"/>
      <c r="AN425" s="81" t="n"/>
      <c r="AO425" s="113" t="n"/>
      <c r="AP425" s="113" t="n"/>
      <c r="AQ425" s="81" t="n"/>
      <c r="AR425" s="113" t="n"/>
      <c r="AS425" s="113" t="n"/>
      <c r="AT425" s="114" t="n"/>
      <c r="AU425" s="81" t="n"/>
      <c r="AV425" s="114" t="n"/>
      <c r="AW425" s="114" t="n"/>
      <c r="AX425" s="81" t="n"/>
      <c r="AY425" s="113" t="n"/>
      <c r="AZ425" s="115">
        <f>IF($B425="","",COUNTIF(References!$A$4:$A$503,$A425))</f>
        <v/>
      </c>
      <c r="BA425" s="115">
        <f>IF($B425="","",(LEN(A425)=0)+(LEN(B425)=0)+(LEN(D425)=0)+(LEN(G425)=0)+(LEN(H425)=0)+(LEN(I425)=0)+(LEN(J425)=0)+(LEN(L425)=0)+(LEN(M425)=0)+(LEN(O425)=0)+(LEN(R425)=0)+(LEN(X425)=0)+(LEN(AI425)=0)+(LEN(AJ425)=0)+(LEN(AQ425)=0)+(LEN(AR425)=0)+(LEN(AT425)=0)+(LEN(AU425)=0)+(LEN(AV425)=0)+(LEN(AX425)=0))</f>
        <v/>
      </c>
      <c r="BB425" s="115">
        <f>IF($B425="","",IF(AND(BA425=0,AZ425&gt;=1),"Complete","Incomplete"))</f>
        <v/>
      </c>
    </row>
    <row r="426" ht="15" customHeight="1" s="62">
      <c r="A426" s="81" t="n"/>
      <c r="B426" s="113" t="n"/>
      <c r="C426" s="81" t="n"/>
      <c r="D426" s="81" t="n"/>
      <c r="E426" s="81" t="n"/>
      <c r="F426" s="81" t="n"/>
      <c r="G426" s="81" t="n"/>
      <c r="H426" s="81" t="n"/>
      <c r="I426" s="81" t="n"/>
      <c r="J426" s="81" t="n"/>
      <c r="K426" s="81" t="n"/>
      <c r="L426" s="113" t="n"/>
      <c r="M426" s="81" t="n"/>
      <c r="N426" s="81" t="n"/>
      <c r="O426" s="81" t="n"/>
      <c r="P426" s="81" t="n"/>
      <c r="Q426" s="113" t="n"/>
      <c r="R426" s="113" t="n"/>
      <c r="S426" s="113" t="n"/>
      <c r="T426" s="81" t="n"/>
      <c r="U426" s="81" t="n"/>
      <c r="V426" s="113" t="n"/>
      <c r="W426" s="81" t="n"/>
      <c r="X426" s="81" t="n"/>
      <c r="Y426" s="81" t="n"/>
      <c r="Z426" s="81" t="n"/>
      <c r="AA426" s="81" t="n"/>
      <c r="AB426" s="81" t="n"/>
      <c r="AC426" s="81" t="n"/>
      <c r="AD426" s="81" t="n"/>
      <c r="AE426" s="81" t="n"/>
      <c r="AF426" s="81" t="n"/>
      <c r="AG426" s="81" t="n"/>
      <c r="AH426" s="113" t="n"/>
      <c r="AI426" s="81" t="n"/>
      <c r="AJ426" s="81" t="n"/>
      <c r="AK426" s="113" t="n"/>
      <c r="AL426" s="81" t="n"/>
      <c r="AM426" s="81" t="n"/>
      <c r="AN426" s="81" t="n"/>
      <c r="AO426" s="113" t="n"/>
      <c r="AP426" s="113" t="n"/>
      <c r="AQ426" s="81" t="n"/>
      <c r="AR426" s="113" t="n"/>
      <c r="AS426" s="113" t="n"/>
      <c r="AT426" s="114" t="n"/>
      <c r="AU426" s="81" t="n"/>
      <c r="AV426" s="114" t="n"/>
      <c r="AW426" s="114" t="n"/>
      <c r="AX426" s="81" t="n"/>
      <c r="AY426" s="113" t="n"/>
      <c r="AZ426" s="115">
        <f>IF($B426="","",COUNTIF(References!$A$4:$A$503,$A426))</f>
        <v/>
      </c>
      <c r="BA426" s="115">
        <f>IF($B426="","",(LEN(A426)=0)+(LEN(B426)=0)+(LEN(D426)=0)+(LEN(G426)=0)+(LEN(H426)=0)+(LEN(I426)=0)+(LEN(J426)=0)+(LEN(L426)=0)+(LEN(M426)=0)+(LEN(O426)=0)+(LEN(R426)=0)+(LEN(X426)=0)+(LEN(AI426)=0)+(LEN(AJ426)=0)+(LEN(AQ426)=0)+(LEN(AR426)=0)+(LEN(AT426)=0)+(LEN(AU426)=0)+(LEN(AV426)=0)+(LEN(AX426)=0))</f>
        <v/>
      </c>
      <c r="BB426" s="115">
        <f>IF($B426="","",IF(AND(BA426=0,AZ426&gt;=1),"Complete","Incomplete"))</f>
        <v/>
      </c>
    </row>
    <row r="427" ht="15" customHeight="1" s="62">
      <c r="A427" s="81" t="n"/>
      <c r="B427" s="113" t="n"/>
      <c r="C427" s="81" t="n"/>
      <c r="D427" s="81" t="n"/>
      <c r="E427" s="81" t="n"/>
      <c r="F427" s="81" t="n"/>
      <c r="G427" s="81" t="n"/>
      <c r="H427" s="81" t="n"/>
      <c r="I427" s="81" t="n"/>
      <c r="J427" s="81" t="n"/>
      <c r="K427" s="81" t="n"/>
      <c r="L427" s="113" t="n"/>
      <c r="M427" s="81" t="n"/>
      <c r="N427" s="81" t="n"/>
      <c r="O427" s="81" t="n"/>
      <c r="P427" s="81" t="n"/>
      <c r="Q427" s="113" t="n"/>
      <c r="R427" s="113" t="n"/>
      <c r="S427" s="113" t="n"/>
      <c r="T427" s="81" t="n"/>
      <c r="U427" s="81" t="n"/>
      <c r="V427" s="113" t="n"/>
      <c r="W427" s="81" t="n"/>
      <c r="X427" s="81" t="n"/>
      <c r="Y427" s="81" t="n"/>
      <c r="Z427" s="81" t="n"/>
      <c r="AA427" s="81" t="n"/>
      <c r="AB427" s="81" t="n"/>
      <c r="AC427" s="81" t="n"/>
      <c r="AD427" s="81" t="n"/>
      <c r="AE427" s="81" t="n"/>
      <c r="AF427" s="81" t="n"/>
      <c r="AG427" s="81" t="n"/>
      <c r="AH427" s="113" t="n"/>
      <c r="AI427" s="81" t="n"/>
      <c r="AJ427" s="81" t="n"/>
      <c r="AK427" s="113" t="n"/>
      <c r="AL427" s="81" t="n"/>
      <c r="AM427" s="81" t="n"/>
      <c r="AN427" s="81" t="n"/>
      <c r="AO427" s="113" t="n"/>
      <c r="AP427" s="113" t="n"/>
      <c r="AQ427" s="81" t="n"/>
      <c r="AR427" s="113" t="n"/>
      <c r="AS427" s="113" t="n"/>
      <c r="AT427" s="114" t="n"/>
      <c r="AU427" s="81" t="n"/>
      <c r="AV427" s="114" t="n"/>
      <c r="AW427" s="114" t="n"/>
      <c r="AX427" s="81" t="n"/>
      <c r="AY427" s="113" t="n"/>
      <c r="AZ427" s="115">
        <f>IF($B427="","",COUNTIF(References!$A$4:$A$503,$A427))</f>
        <v/>
      </c>
      <c r="BA427" s="115">
        <f>IF($B427="","",(LEN(A427)=0)+(LEN(B427)=0)+(LEN(D427)=0)+(LEN(G427)=0)+(LEN(H427)=0)+(LEN(I427)=0)+(LEN(J427)=0)+(LEN(L427)=0)+(LEN(M427)=0)+(LEN(O427)=0)+(LEN(R427)=0)+(LEN(X427)=0)+(LEN(AI427)=0)+(LEN(AJ427)=0)+(LEN(AQ427)=0)+(LEN(AR427)=0)+(LEN(AT427)=0)+(LEN(AU427)=0)+(LEN(AV427)=0)+(LEN(AX427)=0))</f>
        <v/>
      </c>
      <c r="BB427" s="115">
        <f>IF($B427="","",IF(AND(BA427=0,AZ427&gt;=1),"Complete","Incomplete"))</f>
        <v/>
      </c>
    </row>
    <row r="428" ht="15" customHeight="1" s="62">
      <c r="A428" s="81" t="n"/>
      <c r="B428" s="113" t="n"/>
      <c r="C428" s="81" t="n"/>
      <c r="D428" s="81" t="n"/>
      <c r="E428" s="81" t="n"/>
      <c r="F428" s="81" t="n"/>
      <c r="G428" s="81" t="n"/>
      <c r="H428" s="81" t="n"/>
      <c r="I428" s="81" t="n"/>
      <c r="J428" s="81" t="n"/>
      <c r="K428" s="81" t="n"/>
      <c r="L428" s="113" t="n"/>
      <c r="M428" s="81" t="n"/>
      <c r="N428" s="81" t="n"/>
      <c r="O428" s="81" t="n"/>
      <c r="P428" s="81" t="n"/>
      <c r="Q428" s="113" t="n"/>
      <c r="R428" s="113" t="n"/>
      <c r="S428" s="113" t="n"/>
      <c r="T428" s="81" t="n"/>
      <c r="U428" s="81" t="n"/>
      <c r="V428" s="113" t="n"/>
      <c r="W428" s="81" t="n"/>
      <c r="X428" s="81" t="n"/>
      <c r="Y428" s="81" t="n"/>
      <c r="Z428" s="81" t="n"/>
      <c r="AA428" s="81" t="n"/>
      <c r="AB428" s="81" t="n"/>
      <c r="AC428" s="81" t="n"/>
      <c r="AD428" s="81" t="n"/>
      <c r="AE428" s="81" t="n"/>
      <c r="AF428" s="81" t="n"/>
      <c r="AG428" s="81" t="n"/>
      <c r="AH428" s="113" t="n"/>
      <c r="AI428" s="81" t="n"/>
      <c r="AJ428" s="81" t="n"/>
      <c r="AK428" s="113" t="n"/>
      <c r="AL428" s="81" t="n"/>
      <c r="AM428" s="81" t="n"/>
      <c r="AN428" s="81" t="n"/>
      <c r="AO428" s="113" t="n"/>
      <c r="AP428" s="113" t="n"/>
      <c r="AQ428" s="81" t="n"/>
      <c r="AR428" s="113" t="n"/>
      <c r="AS428" s="113" t="n"/>
      <c r="AT428" s="114" t="n"/>
      <c r="AU428" s="81" t="n"/>
      <c r="AV428" s="114" t="n"/>
      <c r="AW428" s="114" t="n"/>
      <c r="AX428" s="81" t="n"/>
      <c r="AY428" s="113" t="n"/>
      <c r="AZ428" s="115">
        <f>IF($B428="","",COUNTIF(References!$A$4:$A$503,$A428))</f>
        <v/>
      </c>
      <c r="BA428" s="115">
        <f>IF($B428="","",(LEN(A428)=0)+(LEN(B428)=0)+(LEN(D428)=0)+(LEN(G428)=0)+(LEN(H428)=0)+(LEN(I428)=0)+(LEN(J428)=0)+(LEN(L428)=0)+(LEN(M428)=0)+(LEN(O428)=0)+(LEN(R428)=0)+(LEN(X428)=0)+(LEN(AI428)=0)+(LEN(AJ428)=0)+(LEN(AQ428)=0)+(LEN(AR428)=0)+(LEN(AT428)=0)+(LEN(AU428)=0)+(LEN(AV428)=0)+(LEN(AX428)=0))</f>
        <v/>
      </c>
      <c r="BB428" s="115">
        <f>IF($B428="","",IF(AND(BA428=0,AZ428&gt;=1),"Complete","Incomplete"))</f>
        <v/>
      </c>
    </row>
    <row r="429" ht="15" customHeight="1" s="62">
      <c r="A429" s="81" t="n"/>
      <c r="B429" s="113" t="n"/>
      <c r="C429" s="81" t="n"/>
      <c r="D429" s="81" t="n"/>
      <c r="E429" s="81" t="n"/>
      <c r="F429" s="81" t="n"/>
      <c r="G429" s="81" t="n"/>
      <c r="H429" s="81" t="n"/>
      <c r="I429" s="81" t="n"/>
      <c r="J429" s="81" t="n"/>
      <c r="K429" s="81" t="n"/>
      <c r="L429" s="113" t="n"/>
      <c r="M429" s="81" t="n"/>
      <c r="N429" s="81" t="n"/>
      <c r="O429" s="81" t="n"/>
      <c r="P429" s="81" t="n"/>
      <c r="Q429" s="113" t="n"/>
      <c r="R429" s="113" t="n"/>
      <c r="S429" s="113" t="n"/>
      <c r="T429" s="81" t="n"/>
      <c r="U429" s="81" t="n"/>
      <c r="V429" s="113" t="n"/>
      <c r="W429" s="81" t="n"/>
      <c r="X429" s="81" t="n"/>
      <c r="Y429" s="81" t="n"/>
      <c r="Z429" s="81" t="n"/>
      <c r="AA429" s="81" t="n"/>
      <c r="AB429" s="81" t="n"/>
      <c r="AC429" s="81" t="n"/>
      <c r="AD429" s="81" t="n"/>
      <c r="AE429" s="81" t="n"/>
      <c r="AF429" s="81" t="n"/>
      <c r="AG429" s="81" t="n"/>
      <c r="AH429" s="113" t="n"/>
      <c r="AI429" s="81" t="n"/>
      <c r="AJ429" s="81" t="n"/>
      <c r="AK429" s="113" t="n"/>
      <c r="AL429" s="81" t="n"/>
      <c r="AM429" s="81" t="n"/>
      <c r="AN429" s="81" t="n"/>
      <c r="AO429" s="113" t="n"/>
      <c r="AP429" s="113" t="n"/>
      <c r="AQ429" s="81" t="n"/>
      <c r="AR429" s="113" t="n"/>
      <c r="AS429" s="113" t="n"/>
      <c r="AT429" s="114" t="n"/>
      <c r="AU429" s="81" t="n"/>
      <c r="AV429" s="114" t="n"/>
      <c r="AW429" s="114" t="n"/>
      <c r="AX429" s="81" t="n"/>
      <c r="AY429" s="113" t="n"/>
      <c r="AZ429" s="115">
        <f>IF($B429="","",COUNTIF(References!$A$4:$A$503,$A429))</f>
        <v/>
      </c>
      <c r="BA429" s="115">
        <f>IF($B429="","",(LEN(A429)=0)+(LEN(B429)=0)+(LEN(D429)=0)+(LEN(G429)=0)+(LEN(H429)=0)+(LEN(I429)=0)+(LEN(J429)=0)+(LEN(L429)=0)+(LEN(M429)=0)+(LEN(O429)=0)+(LEN(R429)=0)+(LEN(X429)=0)+(LEN(AI429)=0)+(LEN(AJ429)=0)+(LEN(AQ429)=0)+(LEN(AR429)=0)+(LEN(AT429)=0)+(LEN(AU429)=0)+(LEN(AV429)=0)+(LEN(AX429)=0))</f>
        <v/>
      </c>
      <c r="BB429" s="115">
        <f>IF($B429="","",IF(AND(BA429=0,AZ429&gt;=1),"Complete","Incomplete"))</f>
        <v/>
      </c>
    </row>
    <row r="430" ht="15" customHeight="1" s="62">
      <c r="A430" s="81" t="n"/>
      <c r="B430" s="113" t="n"/>
      <c r="C430" s="81" t="n"/>
      <c r="D430" s="81" t="n"/>
      <c r="E430" s="81" t="n"/>
      <c r="F430" s="81" t="n"/>
      <c r="G430" s="81" t="n"/>
      <c r="H430" s="81" t="n"/>
      <c r="I430" s="81" t="n"/>
      <c r="J430" s="81" t="n"/>
      <c r="K430" s="81" t="n"/>
      <c r="L430" s="113" t="n"/>
      <c r="M430" s="81" t="n"/>
      <c r="N430" s="81" t="n"/>
      <c r="O430" s="81" t="n"/>
      <c r="P430" s="81" t="n"/>
      <c r="Q430" s="113" t="n"/>
      <c r="R430" s="113" t="n"/>
      <c r="S430" s="113" t="n"/>
      <c r="T430" s="81" t="n"/>
      <c r="U430" s="81" t="n"/>
      <c r="V430" s="113" t="n"/>
      <c r="W430" s="81" t="n"/>
      <c r="X430" s="81" t="n"/>
      <c r="Y430" s="81" t="n"/>
      <c r="Z430" s="81" t="n"/>
      <c r="AA430" s="81" t="n"/>
      <c r="AB430" s="81" t="n"/>
      <c r="AC430" s="81" t="n"/>
      <c r="AD430" s="81" t="n"/>
      <c r="AE430" s="81" t="n"/>
      <c r="AF430" s="81" t="n"/>
      <c r="AG430" s="81" t="n"/>
      <c r="AH430" s="113" t="n"/>
      <c r="AI430" s="81" t="n"/>
      <c r="AJ430" s="81" t="n"/>
      <c r="AK430" s="113" t="n"/>
      <c r="AL430" s="81" t="n"/>
      <c r="AM430" s="81" t="n"/>
      <c r="AN430" s="81" t="n"/>
      <c r="AO430" s="113" t="n"/>
      <c r="AP430" s="113" t="n"/>
      <c r="AQ430" s="81" t="n"/>
      <c r="AR430" s="113" t="n"/>
      <c r="AS430" s="113" t="n"/>
      <c r="AT430" s="114" t="n"/>
      <c r="AU430" s="81" t="n"/>
      <c r="AV430" s="114" t="n"/>
      <c r="AW430" s="114" t="n"/>
      <c r="AX430" s="81" t="n"/>
      <c r="AY430" s="113" t="n"/>
      <c r="AZ430" s="115">
        <f>IF($B430="","",COUNTIF(References!$A$4:$A$503,$A430))</f>
        <v/>
      </c>
      <c r="BA430" s="115">
        <f>IF($B430="","",(LEN(A430)=0)+(LEN(B430)=0)+(LEN(D430)=0)+(LEN(G430)=0)+(LEN(H430)=0)+(LEN(I430)=0)+(LEN(J430)=0)+(LEN(L430)=0)+(LEN(M430)=0)+(LEN(O430)=0)+(LEN(R430)=0)+(LEN(X430)=0)+(LEN(AI430)=0)+(LEN(AJ430)=0)+(LEN(AQ430)=0)+(LEN(AR430)=0)+(LEN(AT430)=0)+(LEN(AU430)=0)+(LEN(AV430)=0)+(LEN(AX430)=0))</f>
        <v/>
      </c>
      <c r="BB430" s="115">
        <f>IF($B430="","",IF(AND(BA430=0,AZ430&gt;=1),"Complete","Incomplete"))</f>
        <v/>
      </c>
    </row>
    <row r="431" ht="15" customHeight="1" s="62">
      <c r="A431" s="81" t="n"/>
      <c r="B431" s="113" t="n"/>
      <c r="C431" s="81" t="n"/>
      <c r="D431" s="81" t="n"/>
      <c r="E431" s="81" t="n"/>
      <c r="F431" s="81" t="n"/>
      <c r="G431" s="81" t="n"/>
      <c r="H431" s="81" t="n"/>
      <c r="I431" s="81" t="n"/>
      <c r="J431" s="81" t="n"/>
      <c r="K431" s="81" t="n"/>
      <c r="L431" s="113" t="n"/>
      <c r="M431" s="81" t="n"/>
      <c r="N431" s="81" t="n"/>
      <c r="O431" s="81" t="n"/>
      <c r="P431" s="81" t="n"/>
      <c r="Q431" s="113" t="n"/>
      <c r="R431" s="113" t="n"/>
      <c r="S431" s="113" t="n"/>
      <c r="T431" s="81" t="n"/>
      <c r="U431" s="81" t="n"/>
      <c r="V431" s="113" t="n"/>
      <c r="W431" s="81" t="n"/>
      <c r="X431" s="81" t="n"/>
      <c r="Y431" s="81" t="n"/>
      <c r="Z431" s="81" t="n"/>
      <c r="AA431" s="81" t="n"/>
      <c r="AB431" s="81" t="n"/>
      <c r="AC431" s="81" t="n"/>
      <c r="AD431" s="81" t="n"/>
      <c r="AE431" s="81" t="n"/>
      <c r="AF431" s="81" t="n"/>
      <c r="AG431" s="81" t="n"/>
      <c r="AH431" s="113" t="n"/>
      <c r="AI431" s="81" t="n"/>
      <c r="AJ431" s="81" t="n"/>
      <c r="AK431" s="113" t="n"/>
      <c r="AL431" s="81" t="n"/>
      <c r="AM431" s="81" t="n"/>
      <c r="AN431" s="81" t="n"/>
      <c r="AO431" s="113" t="n"/>
      <c r="AP431" s="113" t="n"/>
      <c r="AQ431" s="81" t="n"/>
      <c r="AR431" s="113" t="n"/>
      <c r="AS431" s="113" t="n"/>
      <c r="AT431" s="114" t="n"/>
      <c r="AU431" s="81" t="n"/>
      <c r="AV431" s="114" t="n"/>
      <c r="AW431" s="114" t="n"/>
      <c r="AX431" s="81" t="n"/>
      <c r="AY431" s="113" t="n"/>
      <c r="AZ431" s="115">
        <f>IF($B431="","",COUNTIF(References!$A$4:$A$503,$A431))</f>
        <v/>
      </c>
      <c r="BA431" s="115">
        <f>IF($B431="","",(LEN(A431)=0)+(LEN(B431)=0)+(LEN(D431)=0)+(LEN(G431)=0)+(LEN(H431)=0)+(LEN(I431)=0)+(LEN(J431)=0)+(LEN(L431)=0)+(LEN(M431)=0)+(LEN(O431)=0)+(LEN(R431)=0)+(LEN(X431)=0)+(LEN(AI431)=0)+(LEN(AJ431)=0)+(LEN(AQ431)=0)+(LEN(AR431)=0)+(LEN(AT431)=0)+(LEN(AU431)=0)+(LEN(AV431)=0)+(LEN(AX431)=0))</f>
        <v/>
      </c>
      <c r="BB431" s="115">
        <f>IF($B431="","",IF(AND(BA431=0,AZ431&gt;=1),"Complete","Incomplete"))</f>
        <v/>
      </c>
    </row>
    <row r="432" ht="15" customHeight="1" s="62">
      <c r="A432" s="81" t="n"/>
      <c r="B432" s="113" t="n"/>
      <c r="C432" s="81" t="n"/>
      <c r="D432" s="81" t="n"/>
      <c r="E432" s="81" t="n"/>
      <c r="F432" s="81" t="n"/>
      <c r="G432" s="81" t="n"/>
      <c r="H432" s="81" t="n"/>
      <c r="I432" s="81" t="n"/>
      <c r="J432" s="81" t="n"/>
      <c r="K432" s="81" t="n"/>
      <c r="L432" s="113" t="n"/>
      <c r="M432" s="81" t="n"/>
      <c r="N432" s="81" t="n"/>
      <c r="O432" s="81" t="n"/>
      <c r="P432" s="81" t="n"/>
      <c r="Q432" s="113" t="n"/>
      <c r="R432" s="113" t="n"/>
      <c r="S432" s="113" t="n"/>
      <c r="T432" s="81" t="n"/>
      <c r="U432" s="81" t="n"/>
      <c r="V432" s="113" t="n"/>
      <c r="W432" s="81" t="n"/>
      <c r="X432" s="81" t="n"/>
      <c r="Y432" s="81" t="n"/>
      <c r="Z432" s="81" t="n"/>
      <c r="AA432" s="81" t="n"/>
      <c r="AB432" s="81" t="n"/>
      <c r="AC432" s="81" t="n"/>
      <c r="AD432" s="81" t="n"/>
      <c r="AE432" s="81" t="n"/>
      <c r="AF432" s="81" t="n"/>
      <c r="AG432" s="81" t="n"/>
      <c r="AH432" s="113" t="n"/>
      <c r="AI432" s="81" t="n"/>
      <c r="AJ432" s="81" t="n"/>
      <c r="AK432" s="113" t="n"/>
      <c r="AL432" s="81" t="n"/>
      <c r="AM432" s="81" t="n"/>
      <c r="AN432" s="81" t="n"/>
      <c r="AO432" s="113" t="n"/>
      <c r="AP432" s="113" t="n"/>
      <c r="AQ432" s="81" t="n"/>
      <c r="AR432" s="113" t="n"/>
      <c r="AS432" s="113" t="n"/>
      <c r="AT432" s="114" t="n"/>
      <c r="AU432" s="81" t="n"/>
      <c r="AV432" s="114" t="n"/>
      <c r="AW432" s="114" t="n"/>
      <c r="AX432" s="81" t="n"/>
      <c r="AY432" s="113" t="n"/>
      <c r="AZ432" s="115">
        <f>IF($B432="","",COUNTIF(References!$A$4:$A$503,$A432))</f>
        <v/>
      </c>
      <c r="BA432" s="115">
        <f>IF($B432="","",(LEN(A432)=0)+(LEN(B432)=0)+(LEN(D432)=0)+(LEN(G432)=0)+(LEN(H432)=0)+(LEN(I432)=0)+(LEN(J432)=0)+(LEN(L432)=0)+(LEN(M432)=0)+(LEN(O432)=0)+(LEN(R432)=0)+(LEN(X432)=0)+(LEN(AI432)=0)+(LEN(AJ432)=0)+(LEN(AQ432)=0)+(LEN(AR432)=0)+(LEN(AT432)=0)+(LEN(AU432)=0)+(LEN(AV432)=0)+(LEN(AX432)=0))</f>
        <v/>
      </c>
      <c r="BB432" s="115">
        <f>IF($B432="","",IF(AND(BA432=0,AZ432&gt;=1),"Complete","Incomplete"))</f>
        <v/>
      </c>
    </row>
    <row r="433" ht="15" customHeight="1" s="62">
      <c r="A433" s="81" t="n"/>
      <c r="B433" s="113" t="n"/>
      <c r="C433" s="81" t="n"/>
      <c r="D433" s="81" t="n"/>
      <c r="E433" s="81" t="n"/>
      <c r="F433" s="81" t="n"/>
      <c r="G433" s="81" t="n"/>
      <c r="H433" s="81" t="n"/>
      <c r="I433" s="81" t="n"/>
      <c r="J433" s="81" t="n"/>
      <c r="K433" s="81" t="n"/>
      <c r="L433" s="113" t="n"/>
      <c r="M433" s="81" t="n"/>
      <c r="N433" s="81" t="n"/>
      <c r="O433" s="81" t="n"/>
      <c r="P433" s="81" t="n"/>
      <c r="Q433" s="113" t="n"/>
      <c r="R433" s="113" t="n"/>
      <c r="S433" s="113" t="n"/>
      <c r="T433" s="81" t="n"/>
      <c r="U433" s="81" t="n"/>
      <c r="V433" s="113" t="n"/>
      <c r="W433" s="81" t="n"/>
      <c r="X433" s="81" t="n"/>
      <c r="Y433" s="81" t="n"/>
      <c r="Z433" s="81" t="n"/>
      <c r="AA433" s="81" t="n"/>
      <c r="AB433" s="81" t="n"/>
      <c r="AC433" s="81" t="n"/>
      <c r="AD433" s="81" t="n"/>
      <c r="AE433" s="81" t="n"/>
      <c r="AF433" s="81" t="n"/>
      <c r="AG433" s="81" t="n"/>
      <c r="AH433" s="113" t="n"/>
      <c r="AI433" s="81" t="n"/>
      <c r="AJ433" s="81" t="n"/>
      <c r="AK433" s="113" t="n"/>
      <c r="AL433" s="81" t="n"/>
      <c r="AM433" s="81" t="n"/>
      <c r="AN433" s="81" t="n"/>
      <c r="AO433" s="113" t="n"/>
      <c r="AP433" s="113" t="n"/>
      <c r="AQ433" s="81" t="n"/>
      <c r="AR433" s="113" t="n"/>
      <c r="AS433" s="113" t="n"/>
      <c r="AT433" s="114" t="n"/>
      <c r="AU433" s="81" t="n"/>
      <c r="AV433" s="114" t="n"/>
      <c r="AW433" s="114" t="n"/>
      <c r="AX433" s="81" t="n"/>
      <c r="AY433" s="113" t="n"/>
      <c r="AZ433" s="115">
        <f>IF($B433="","",COUNTIF(References!$A$4:$A$503,$A433))</f>
        <v/>
      </c>
      <c r="BA433" s="115">
        <f>IF($B433="","",(LEN(A433)=0)+(LEN(B433)=0)+(LEN(D433)=0)+(LEN(G433)=0)+(LEN(H433)=0)+(LEN(I433)=0)+(LEN(J433)=0)+(LEN(L433)=0)+(LEN(M433)=0)+(LEN(O433)=0)+(LEN(R433)=0)+(LEN(X433)=0)+(LEN(AI433)=0)+(LEN(AJ433)=0)+(LEN(AQ433)=0)+(LEN(AR433)=0)+(LEN(AT433)=0)+(LEN(AU433)=0)+(LEN(AV433)=0)+(LEN(AX433)=0))</f>
        <v/>
      </c>
      <c r="BB433" s="115">
        <f>IF($B433="","",IF(AND(BA433=0,AZ433&gt;=1),"Complete","Incomplete"))</f>
        <v/>
      </c>
    </row>
    <row r="434" ht="15" customHeight="1" s="62">
      <c r="A434" s="81" t="n"/>
      <c r="B434" s="113" t="n"/>
      <c r="C434" s="81" t="n"/>
      <c r="D434" s="81" t="n"/>
      <c r="E434" s="81" t="n"/>
      <c r="F434" s="81" t="n"/>
      <c r="G434" s="81" t="n"/>
      <c r="H434" s="81" t="n"/>
      <c r="I434" s="81" t="n"/>
      <c r="J434" s="81" t="n"/>
      <c r="K434" s="81" t="n"/>
      <c r="L434" s="113" t="n"/>
      <c r="M434" s="81" t="n"/>
      <c r="N434" s="81" t="n"/>
      <c r="O434" s="81" t="n"/>
      <c r="P434" s="81" t="n"/>
      <c r="Q434" s="113" t="n"/>
      <c r="R434" s="113" t="n"/>
      <c r="S434" s="113" t="n"/>
      <c r="T434" s="81" t="n"/>
      <c r="U434" s="81" t="n"/>
      <c r="V434" s="113" t="n"/>
      <c r="W434" s="81" t="n"/>
      <c r="X434" s="81" t="n"/>
      <c r="Y434" s="81" t="n"/>
      <c r="Z434" s="81" t="n"/>
      <c r="AA434" s="81" t="n"/>
      <c r="AB434" s="81" t="n"/>
      <c r="AC434" s="81" t="n"/>
      <c r="AD434" s="81" t="n"/>
      <c r="AE434" s="81" t="n"/>
      <c r="AF434" s="81" t="n"/>
      <c r="AG434" s="81" t="n"/>
      <c r="AH434" s="113" t="n"/>
      <c r="AI434" s="81" t="n"/>
      <c r="AJ434" s="81" t="n"/>
      <c r="AK434" s="113" t="n"/>
      <c r="AL434" s="81" t="n"/>
      <c r="AM434" s="81" t="n"/>
      <c r="AN434" s="81" t="n"/>
      <c r="AO434" s="113" t="n"/>
      <c r="AP434" s="113" t="n"/>
      <c r="AQ434" s="81" t="n"/>
      <c r="AR434" s="113" t="n"/>
      <c r="AS434" s="113" t="n"/>
      <c r="AT434" s="114" t="n"/>
      <c r="AU434" s="81" t="n"/>
      <c r="AV434" s="114" t="n"/>
      <c r="AW434" s="114" t="n"/>
      <c r="AX434" s="81" t="n"/>
      <c r="AY434" s="113" t="n"/>
      <c r="AZ434" s="115">
        <f>IF($B434="","",COUNTIF(References!$A$4:$A$503,$A434))</f>
        <v/>
      </c>
      <c r="BA434" s="115">
        <f>IF($B434="","",(LEN(A434)=0)+(LEN(B434)=0)+(LEN(D434)=0)+(LEN(G434)=0)+(LEN(H434)=0)+(LEN(I434)=0)+(LEN(J434)=0)+(LEN(L434)=0)+(LEN(M434)=0)+(LEN(O434)=0)+(LEN(R434)=0)+(LEN(X434)=0)+(LEN(AI434)=0)+(LEN(AJ434)=0)+(LEN(AQ434)=0)+(LEN(AR434)=0)+(LEN(AT434)=0)+(LEN(AU434)=0)+(LEN(AV434)=0)+(LEN(AX434)=0))</f>
        <v/>
      </c>
      <c r="BB434" s="115">
        <f>IF($B434="","",IF(AND(BA434=0,AZ434&gt;=1),"Complete","Incomplete"))</f>
        <v/>
      </c>
    </row>
    <row r="435" ht="15" customHeight="1" s="62">
      <c r="A435" s="81" t="n"/>
      <c r="B435" s="113" t="n"/>
      <c r="C435" s="81" t="n"/>
      <c r="D435" s="81" t="n"/>
      <c r="E435" s="81" t="n"/>
      <c r="F435" s="81" t="n"/>
      <c r="G435" s="81" t="n"/>
      <c r="H435" s="81" t="n"/>
      <c r="I435" s="81" t="n"/>
      <c r="J435" s="81" t="n"/>
      <c r="K435" s="81" t="n"/>
      <c r="L435" s="113" t="n"/>
      <c r="M435" s="81" t="n"/>
      <c r="N435" s="81" t="n"/>
      <c r="O435" s="81" t="n"/>
      <c r="P435" s="81" t="n"/>
      <c r="Q435" s="113" t="n"/>
      <c r="R435" s="113" t="n"/>
      <c r="S435" s="113" t="n"/>
      <c r="T435" s="81" t="n"/>
      <c r="U435" s="81" t="n"/>
      <c r="V435" s="113" t="n"/>
      <c r="W435" s="81" t="n"/>
      <c r="X435" s="81" t="n"/>
      <c r="Y435" s="81" t="n"/>
      <c r="Z435" s="81" t="n"/>
      <c r="AA435" s="81" t="n"/>
      <c r="AB435" s="81" t="n"/>
      <c r="AC435" s="81" t="n"/>
      <c r="AD435" s="81" t="n"/>
      <c r="AE435" s="81" t="n"/>
      <c r="AF435" s="81" t="n"/>
      <c r="AG435" s="81" t="n"/>
      <c r="AH435" s="113" t="n"/>
      <c r="AI435" s="81" t="n"/>
      <c r="AJ435" s="81" t="n"/>
      <c r="AK435" s="113" t="n"/>
      <c r="AL435" s="81" t="n"/>
      <c r="AM435" s="81" t="n"/>
      <c r="AN435" s="81" t="n"/>
      <c r="AO435" s="113" t="n"/>
      <c r="AP435" s="113" t="n"/>
      <c r="AQ435" s="81" t="n"/>
      <c r="AR435" s="113" t="n"/>
      <c r="AS435" s="113" t="n"/>
      <c r="AT435" s="114" t="n"/>
      <c r="AU435" s="81" t="n"/>
      <c r="AV435" s="114" t="n"/>
      <c r="AW435" s="114" t="n"/>
      <c r="AX435" s="81" t="n"/>
      <c r="AY435" s="113" t="n"/>
      <c r="AZ435" s="115">
        <f>IF($B435="","",COUNTIF(References!$A$4:$A$503,$A435))</f>
        <v/>
      </c>
      <c r="BA435" s="115">
        <f>IF($B435="","",(LEN(A435)=0)+(LEN(B435)=0)+(LEN(D435)=0)+(LEN(G435)=0)+(LEN(H435)=0)+(LEN(I435)=0)+(LEN(J435)=0)+(LEN(L435)=0)+(LEN(M435)=0)+(LEN(O435)=0)+(LEN(R435)=0)+(LEN(X435)=0)+(LEN(AI435)=0)+(LEN(AJ435)=0)+(LEN(AQ435)=0)+(LEN(AR435)=0)+(LEN(AT435)=0)+(LEN(AU435)=0)+(LEN(AV435)=0)+(LEN(AX435)=0))</f>
        <v/>
      </c>
      <c r="BB435" s="115">
        <f>IF($B435="","",IF(AND(BA435=0,AZ435&gt;=1),"Complete","Incomplete"))</f>
        <v/>
      </c>
    </row>
    <row r="436" ht="15" customHeight="1" s="62">
      <c r="A436" s="81" t="n"/>
      <c r="B436" s="113" t="n"/>
      <c r="C436" s="81" t="n"/>
      <c r="D436" s="81" t="n"/>
      <c r="E436" s="81" t="n"/>
      <c r="F436" s="81" t="n"/>
      <c r="G436" s="81" t="n"/>
      <c r="H436" s="81" t="n"/>
      <c r="I436" s="81" t="n"/>
      <c r="J436" s="81" t="n"/>
      <c r="K436" s="81" t="n"/>
      <c r="L436" s="113" t="n"/>
      <c r="M436" s="81" t="n"/>
      <c r="N436" s="81" t="n"/>
      <c r="O436" s="81" t="n"/>
      <c r="P436" s="81" t="n"/>
      <c r="Q436" s="113" t="n"/>
      <c r="R436" s="113" t="n"/>
      <c r="S436" s="113" t="n"/>
      <c r="T436" s="81" t="n"/>
      <c r="U436" s="81" t="n"/>
      <c r="V436" s="113" t="n"/>
      <c r="W436" s="81" t="n"/>
      <c r="X436" s="81" t="n"/>
      <c r="Y436" s="81" t="n"/>
      <c r="Z436" s="81" t="n"/>
      <c r="AA436" s="81" t="n"/>
      <c r="AB436" s="81" t="n"/>
      <c r="AC436" s="81" t="n"/>
      <c r="AD436" s="81" t="n"/>
      <c r="AE436" s="81" t="n"/>
      <c r="AF436" s="81" t="n"/>
      <c r="AG436" s="81" t="n"/>
      <c r="AH436" s="113" t="n"/>
      <c r="AI436" s="81" t="n"/>
      <c r="AJ436" s="81" t="n"/>
      <c r="AK436" s="113" t="n"/>
      <c r="AL436" s="81" t="n"/>
      <c r="AM436" s="81" t="n"/>
      <c r="AN436" s="81" t="n"/>
      <c r="AO436" s="113" t="n"/>
      <c r="AP436" s="113" t="n"/>
      <c r="AQ436" s="81" t="n"/>
      <c r="AR436" s="113" t="n"/>
      <c r="AS436" s="113" t="n"/>
      <c r="AT436" s="114" t="n"/>
      <c r="AU436" s="81" t="n"/>
      <c r="AV436" s="114" t="n"/>
      <c r="AW436" s="114" t="n"/>
      <c r="AX436" s="81" t="n"/>
      <c r="AY436" s="113" t="n"/>
      <c r="AZ436" s="115">
        <f>IF($B436="","",COUNTIF(References!$A$4:$A$503,$A436))</f>
        <v/>
      </c>
      <c r="BA436" s="115">
        <f>IF($B436="","",(LEN(A436)=0)+(LEN(B436)=0)+(LEN(D436)=0)+(LEN(G436)=0)+(LEN(H436)=0)+(LEN(I436)=0)+(LEN(J436)=0)+(LEN(L436)=0)+(LEN(M436)=0)+(LEN(O436)=0)+(LEN(R436)=0)+(LEN(X436)=0)+(LEN(AI436)=0)+(LEN(AJ436)=0)+(LEN(AQ436)=0)+(LEN(AR436)=0)+(LEN(AT436)=0)+(LEN(AU436)=0)+(LEN(AV436)=0)+(LEN(AX436)=0))</f>
        <v/>
      </c>
      <c r="BB436" s="115">
        <f>IF($B436="","",IF(AND(BA436=0,AZ436&gt;=1),"Complete","Incomplete"))</f>
        <v/>
      </c>
    </row>
    <row r="437" ht="15" customHeight="1" s="62">
      <c r="A437" s="81" t="n"/>
      <c r="B437" s="113" t="n"/>
      <c r="C437" s="81" t="n"/>
      <c r="D437" s="81" t="n"/>
      <c r="E437" s="81" t="n"/>
      <c r="F437" s="81" t="n"/>
      <c r="G437" s="81" t="n"/>
      <c r="H437" s="81" t="n"/>
      <c r="I437" s="81" t="n"/>
      <c r="J437" s="81" t="n"/>
      <c r="K437" s="81" t="n"/>
      <c r="L437" s="113" t="n"/>
      <c r="M437" s="81" t="n"/>
      <c r="N437" s="81" t="n"/>
      <c r="O437" s="81" t="n"/>
      <c r="P437" s="81" t="n"/>
      <c r="Q437" s="113" t="n"/>
      <c r="R437" s="113" t="n"/>
      <c r="S437" s="113" t="n"/>
      <c r="T437" s="81" t="n"/>
      <c r="U437" s="81" t="n"/>
      <c r="V437" s="113" t="n"/>
      <c r="W437" s="81" t="n"/>
      <c r="X437" s="81" t="n"/>
      <c r="Y437" s="81" t="n"/>
      <c r="Z437" s="81" t="n"/>
      <c r="AA437" s="81" t="n"/>
      <c r="AB437" s="81" t="n"/>
      <c r="AC437" s="81" t="n"/>
      <c r="AD437" s="81" t="n"/>
      <c r="AE437" s="81" t="n"/>
      <c r="AF437" s="81" t="n"/>
      <c r="AG437" s="81" t="n"/>
      <c r="AH437" s="113" t="n"/>
      <c r="AI437" s="81" t="n"/>
      <c r="AJ437" s="81" t="n"/>
      <c r="AK437" s="113" t="n"/>
      <c r="AL437" s="81" t="n"/>
      <c r="AM437" s="81" t="n"/>
      <c r="AN437" s="81" t="n"/>
      <c r="AO437" s="113" t="n"/>
      <c r="AP437" s="113" t="n"/>
      <c r="AQ437" s="81" t="n"/>
      <c r="AR437" s="113" t="n"/>
      <c r="AS437" s="113" t="n"/>
      <c r="AT437" s="114" t="n"/>
      <c r="AU437" s="81" t="n"/>
      <c r="AV437" s="114" t="n"/>
      <c r="AW437" s="114" t="n"/>
      <c r="AX437" s="81" t="n"/>
      <c r="AY437" s="113" t="n"/>
      <c r="AZ437" s="115">
        <f>IF($B437="","",COUNTIF(References!$A$4:$A$503,$A437))</f>
        <v/>
      </c>
      <c r="BA437" s="115">
        <f>IF($B437="","",(LEN(A437)=0)+(LEN(B437)=0)+(LEN(D437)=0)+(LEN(G437)=0)+(LEN(H437)=0)+(LEN(I437)=0)+(LEN(J437)=0)+(LEN(L437)=0)+(LEN(M437)=0)+(LEN(O437)=0)+(LEN(R437)=0)+(LEN(X437)=0)+(LEN(AI437)=0)+(LEN(AJ437)=0)+(LEN(AQ437)=0)+(LEN(AR437)=0)+(LEN(AT437)=0)+(LEN(AU437)=0)+(LEN(AV437)=0)+(LEN(AX437)=0))</f>
        <v/>
      </c>
      <c r="BB437" s="115">
        <f>IF($B437="","",IF(AND(BA437=0,AZ437&gt;=1),"Complete","Incomplete"))</f>
        <v/>
      </c>
    </row>
    <row r="438" ht="15" customHeight="1" s="62">
      <c r="A438" s="81" t="n"/>
      <c r="B438" s="113" t="n"/>
      <c r="C438" s="81" t="n"/>
      <c r="D438" s="81" t="n"/>
      <c r="E438" s="81" t="n"/>
      <c r="F438" s="81" t="n"/>
      <c r="G438" s="81" t="n"/>
      <c r="H438" s="81" t="n"/>
      <c r="I438" s="81" t="n"/>
      <c r="J438" s="81" t="n"/>
      <c r="K438" s="81" t="n"/>
      <c r="L438" s="113" t="n"/>
      <c r="M438" s="81" t="n"/>
      <c r="N438" s="81" t="n"/>
      <c r="O438" s="81" t="n"/>
      <c r="P438" s="81" t="n"/>
      <c r="Q438" s="113" t="n"/>
      <c r="R438" s="113" t="n"/>
      <c r="S438" s="113" t="n"/>
      <c r="T438" s="81" t="n"/>
      <c r="U438" s="81" t="n"/>
      <c r="V438" s="113" t="n"/>
      <c r="W438" s="81" t="n"/>
      <c r="X438" s="81" t="n"/>
      <c r="Y438" s="81" t="n"/>
      <c r="Z438" s="81" t="n"/>
      <c r="AA438" s="81" t="n"/>
      <c r="AB438" s="81" t="n"/>
      <c r="AC438" s="81" t="n"/>
      <c r="AD438" s="81" t="n"/>
      <c r="AE438" s="81" t="n"/>
      <c r="AF438" s="81" t="n"/>
      <c r="AG438" s="81" t="n"/>
      <c r="AH438" s="113" t="n"/>
      <c r="AI438" s="81" t="n"/>
      <c r="AJ438" s="81" t="n"/>
      <c r="AK438" s="113" t="n"/>
      <c r="AL438" s="81" t="n"/>
      <c r="AM438" s="81" t="n"/>
      <c r="AN438" s="81" t="n"/>
      <c r="AO438" s="113" t="n"/>
      <c r="AP438" s="113" t="n"/>
      <c r="AQ438" s="81" t="n"/>
      <c r="AR438" s="113" t="n"/>
      <c r="AS438" s="113" t="n"/>
      <c r="AT438" s="114" t="n"/>
      <c r="AU438" s="81" t="n"/>
      <c r="AV438" s="114" t="n"/>
      <c r="AW438" s="114" t="n"/>
      <c r="AX438" s="81" t="n"/>
      <c r="AY438" s="113" t="n"/>
      <c r="AZ438" s="115">
        <f>IF($B438="","",COUNTIF(References!$A$4:$A$503,$A438))</f>
        <v/>
      </c>
      <c r="BA438" s="115">
        <f>IF($B438="","",(LEN(A438)=0)+(LEN(B438)=0)+(LEN(D438)=0)+(LEN(G438)=0)+(LEN(H438)=0)+(LEN(I438)=0)+(LEN(J438)=0)+(LEN(L438)=0)+(LEN(M438)=0)+(LEN(O438)=0)+(LEN(R438)=0)+(LEN(X438)=0)+(LEN(AI438)=0)+(LEN(AJ438)=0)+(LEN(AQ438)=0)+(LEN(AR438)=0)+(LEN(AT438)=0)+(LEN(AU438)=0)+(LEN(AV438)=0)+(LEN(AX438)=0))</f>
        <v/>
      </c>
      <c r="BB438" s="115">
        <f>IF($B438="","",IF(AND(BA438=0,AZ438&gt;=1),"Complete","Incomplete"))</f>
        <v/>
      </c>
    </row>
    <row r="439" ht="15" customHeight="1" s="62">
      <c r="A439" s="81" t="n"/>
      <c r="B439" s="113" t="n"/>
      <c r="C439" s="81" t="n"/>
      <c r="D439" s="81" t="n"/>
      <c r="E439" s="81" t="n"/>
      <c r="F439" s="81" t="n"/>
      <c r="G439" s="81" t="n"/>
      <c r="H439" s="81" t="n"/>
      <c r="I439" s="81" t="n"/>
      <c r="J439" s="81" t="n"/>
      <c r="K439" s="81" t="n"/>
      <c r="L439" s="113" t="n"/>
      <c r="M439" s="81" t="n"/>
      <c r="N439" s="81" t="n"/>
      <c r="O439" s="81" t="n"/>
      <c r="P439" s="81" t="n"/>
      <c r="Q439" s="113" t="n"/>
      <c r="R439" s="113" t="n"/>
      <c r="S439" s="113" t="n"/>
      <c r="T439" s="81" t="n"/>
      <c r="U439" s="81" t="n"/>
      <c r="V439" s="113" t="n"/>
      <c r="W439" s="81" t="n"/>
      <c r="X439" s="81" t="n"/>
      <c r="Y439" s="81" t="n"/>
      <c r="Z439" s="81" t="n"/>
      <c r="AA439" s="81" t="n"/>
      <c r="AB439" s="81" t="n"/>
      <c r="AC439" s="81" t="n"/>
      <c r="AD439" s="81" t="n"/>
      <c r="AE439" s="81" t="n"/>
      <c r="AF439" s="81" t="n"/>
      <c r="AG439" s="81" t="n"/>
      <c r="AH439" s="113" t="n"/>
      <c r="AI439" s="81" t="n"/>
      <c r="AJ439" s="81" t="n"/>
      <c r="AK439" s="113" t="n"/>
      <c r="AL439" s="81" t="n"/>
      <c r="AM439" s="81" t="n"/>
      <c r="AN439" s="81" t="n"/>
      <c r="AO439" s="113" t="n"/>
      <c r="AP439" s="113" t="n"/>
      <c r="AQ439" s="81" t="n"/>
      <c r="AR439" s="113" t="n"/>
      <c r="AS439" s="113" t="n"/>
      <c r="AT439" s="114" t="n"/>
      <c r="AU439" s="81" t="n"/>
      <c r="AV439" s="114" t="n"/>
      <c r="AW439" s="114" t="n"/>
      <c r="AX439" s="81" t="n"/>
      <c r="AY439" s="113" t="n"/>
      <c r="AZ439" s="115">
        <f>IF($B439="","",COUNTIF(References!$A$4:$A$503,$A439))</f>
        <v/>
      </c>
      <c r="BA439" s="115">
        <f>IF($B439="","",(LEN(A439)=0)+(LEN(B439)=0)+(LEN(D439)=0)+(LEN(G439)=0)+(LEN(H439)=0)+(LEN(I439)=0)+(LEN(J439)=0)+(LEN(L439)=0)+(LEN(M439)=0)+(LEN(O439)=0)+(LEN(R439)=0)+(LEN(X439)=0)+(LEN(AI439)=0)+(LEN(AJ439)=0)+(LEN(AQ439)=0)+(LEN(AR439)=0)+(LEN(AT439)=0)+(LEN(AU439)=0)+(LEN(AV439)=0)+(LEN(AX439)=0))</f>
        <v/>
      </c>
      <c r="BB439" s="115">
        <f>IF($B439="","",IF(AND(BA439=0,AZ439&gt;=1),"Complete","Incomplete"))</f>
        <v/>
      </c>
    </row>
    <row r="440" ht="15" customHeight="1" s="62">
      <c r="A440" s="81" t="n"/>
      <c r="B440" s="113" t="n"/>
      <c r="C440" s="81" t="n"/>
      <c r="D440" s="81" t="n"/>
      <c r="E440" s="81" t="n"/>
      <c r="F440" s="81" t="n"/>
      <c r="G440" s="81" t="n"/>
      <c r="H440" s="81" t="n"/>
      <c r="I440" s="81" t="n"/>
      <c r="J440" s="81" t="n"/>
      <c r="K440" s="81" t="n"/>
      <c r="L440" s="113" t="n"/>
      <c r="M440" s="81" t="n"/>
      <c r="N440" s="81" t="n"/>
      <c r="O440" s="81" t="n"/>
      <c r="P440" s="81" t="n"/>
      <c r="Q440" s="113" t="n"/>
      <c r="R440" s="113" t="n"/>
      <c r="S440" s="113" t="n"/>
      <c r="T440" s="81" t="n"/>
      <c r="U440" s="81" t="n"/>
      <c r="V440" s="113" t="n"/>
      <c r="W440" s="81" t="n"/>
      <c r="X440" s="81" t="n"/>
      <c r="Y440" s="81" t="n"/>
      <c r="Z440" s="81" t="n"/>
      <c r="AA440" s="81" t="n"/>
      <c r="AB440" s="81" t="n"/>
      <c r="AC440" s="81" t="n"/>
      <c r="AD440" s="81" t="n"/>
      <c r="AE440" s="81" t="n"/>
      <c r="AF440" s="81" t="n"/>
      <c r="AG440" s="81" t="n"/>
      <c r="AH440" s="113" t="n"/>
      <c r="AI440" s="81" t="n"/>
      <c r="AJ440" s="81" t="n"/>
      <c r="AK440" s="113" t="n"/>
      <c r="AL440" s="81" t="n"/>
      <c r="AM440" s="81" t="n"/>
      <c r="AN440" s="81" t="n"/>
      <c r="AO440" s="113" t="n"/>
      <c r="AP440" s="113" t="n"/>
      <c r="AQ440" s="81" t="n"/>
      <c r="AR440" s="113" t="n"/>
      <c r="AS440" s="113" t="n"/>
      <c r="AT440" s="114" t="n"/>
      <c r="AU440" s="81" t="n"/>
      <c r="AV440" s="114" t="n"/>
      <c r="AW440" s="114" t="n"/>
      <c r="AX440" s="81" t="n"/>
      <c r="AY440" s="113" t="n"/>
      <c r="AZ440" s="115">
        <f>IF($B440="","",COUNTIF(References!$A$4:$A$503,$A440))</f>
        <v/>
      </c>
      <c r="BA440" s="115">
        <f>IF($B440="","",(LEN(A440)=0)+(LEN(B440)=0)+(LEN(D440)=0)+(LEN(G440)=0)+(LEN(H440)=0)+(LEN(I440)=0)+(LEN(J440)=0)+(LEN(L440)=0)+(LEN(M440)=0)+(LEN(O440)=0)+(LEN(R440)=0)+(LEN(X440)=0)+(LEN(AI440)=0)+(LEN(AJ440)=0)+(LEN(AQ440)=0)+(LEN(AR440)=0)+(LEN(AT440)=0)+(LEN(AU440)=0)+(LEN(AV440)=0)+(LEN(AX440)=0))</f>
        <v/>
      </c>
      <c r="BB440" s="115">
        <f>IF($B440="","",IF(AND(BA440=0,AZ440&gt;=1),"Complete","Incomplete"))</f>
        <v/>
      </c>
    </row>
    <row r="441" ht="15" customHeight="1" s="62">
      <c r="A441" s="81" t="n"/>
      <c r="B441" s="113" t="n"/>
      <c r="C441" s="81" t="n"/>
      <c r="D441" s="81" t="n"/>
      <c r="E441" s="81" t="n"/>
      <c r="F441" s="81" t="n"/>
      <c r="G441" s="81" t="n"/>
      <c r="H441" s="81" t="n"/>
      <c r="I441" s="81" t="n"/>
      <c r="J441" s="81" t="n"/>
      <c r="K441" s="81" t="n"/>
      <c r="L441" s="113" t="n"/>
      <c r="M441" s="81" t="n"/>
      <c r="N441" s="81" t="n"/>
      <c r="O441" s="81" t="n"/>
      <c r="P441" s="81" t="n"/>
      <c r="Q441" s="113" t="n"/>
      <c r="R441" s="113" t="n"/>
      <c r="S441" s="113" t="n"/>
      <c r="T441" s="81" t="n"/>
      <c r="U441" s="81" t="n"/>
      <c r="V441" s="113" t="n"/>
      <c r="W441" s="81" t="n"/>
      <c r="X441" s="81" t="n"/>
      <c r="Y441" s="81" t="n"/>
      <c r="Z441" s="81" t="n"/>
      <c r="AA441" s="81" t="n"/>
      <c r="AB441" s="81" t="n"/>
      <c r="AC441" s="81" t="n"/>
      <c r="AD441" s="81" t="n"/>
      <c r="AE441" s="81" t="n"/>
      <c r="AF441" s="81" t="n"/>
      <c r="AG441" s="81" t="n"/>
      <c r="AH441" s="113" t="n"/>
      <c r="AI441" s="81" t="n"/>
      <c r="AJ441" s="81" t="n"/>
      <c r="AK441" s="113" t="n"/>
      <c r="AL441" s="81" t="n"/>
      <c r="AM441" s="81" t="n"/>
      <c r="AN441" s="81" t="n"/>
      <c r="AO441" s="113" t="n"/>
      <c r="AP441" s="113" t="n"/>
      <c r="AQ441" s="81" t="n"/>
      <c r="AR441" s="113" t="n"/>
      <c r="AS441" s="113" t="n"/>
      <c r="AT441" s="114" t="n"/>
      <c r="AU441" s="81" t="n"/>
      <c r="AV441" s="114" t="n"/>
      <c r="AW441" s="114" t="n"/>
      <c r="AX441" s="81" t="n"/>
      <c r="AY441" s="113" t="n"/>
      <c r="AZ441" s="115">
        <f>IF($B441="","",COUNTIF(References!$A$4:$A$503,$A441))</f>
        <v/>
      </c>
      <c r="BA441" s="115">
        <f>IF($B441="","",(LEN(A441)=0)+(LEN(B441)=0)+(LEN(D441)=0)+(LEN(G441)=0)+(LEN(H441)=0)+(LEN(I441)=0)+(LEN(J441)=0)+(LEN(L441)=0)+(LEN(M441)=0)+(LEN(O441)=0)+(LEN(R441)=0)+(LEN(X441)=0)+(LEN(AI441)=0)+(LEN(AJ441)=0)+(LEN(AQ441)=0)+(LEN(AR441)=0)+(LEN(AT441)=0)+(LEN(AU441)=0)+(LEN(AV441)=0)+(LEN(AX441)=0))</f>
        <v/>
      </c>
      <c r="BB441" s="115">
        <f>IF($B441="","",IF(AND(BA441=0,AZ441&gt;=1),"Complete","Incomplete"))</f>
        <v/>
      </c>
    </row>
    <row r="442" ht="15" customHeight="1" s="62">
      <c r="A442" s="81" t="n"/>
      <c r="B442" s="113" t="n"/>
      <c r="C442" s="81" t="n"/>
      <c r="D442" s="81" t="n"/>
      <c r="E442" s="81" t="n"/>
      <c r="F442" s="81" t="n"/>
      <c r="G442" s="81" t="n"/>
      <c r="H442" s="81" t="n"/>
      <c r="I442" s="81" t="n"/>
      <c r="J442" s="81" t="n"/>
      <c r="K442" s="81" t="n"/>
      <c r="L442" s="113" t="n"/>
      <c r="M442" s="81" t="n"/>
      <c r="N442" s="81" t="n"/>
      <c r="O442" s="81" t="n"/>
      <c r="P442" s="81" t="n"/>
      <c r="Q442" s="113" t="n"/>
      <c r="R442" s="113" t="n"/>
      <c r="S442" s="113" t="n"/>
      <c r="T442" s="81" t="n"/>
      <c r="U442" s="81" t="n"/>
      <c r="V442" s="113" t="n"/>
      <c r="W442" s="81" t="n"/>
      <c r="X442" s="81" t="n"/>
      <c r="Y442" s="81" t="n"/>
      <c r="Z442" s="81" t="n"/>
      <c r="AA442" s="81" t="n"/>
      <c r="AB442" s="81" t="n"/>
      <c r="AC442" s="81" t="n"/>
      <c r="AD442" s="81" t="n"/>
      <c r="AE442" s="81" t="n"/>
      <c r="AF442" s="81" t="n"/>
      <c r="AG442" s="81" t="n"/>
      <c r="AH442" s="113" t="n"/>
      <c r="AI442" s="81" t="n"/>
      <c r="AJ442" s="81" t="n"/>
      <c r="AK442" s="113" t="n"/>
      <c r="AL442" s="81" t="n"/>
      <c r="AM442" s="81" t="n"/>
      <c r="AN442" s="81" t="n"/>
      <c r="AO442" s="113" t="n"/>
      <c r="AP442" s="113" t="n"/>
      <c r="AQ442" s="81" t="n"/>
      <c r="AR442" s="113" t="n"/>
      <c r="AS442" s="113" t="n"/>
      <c r="AT442" s="114" t="n"/>
      <c r="AU442" s="81" t="n"/>
      <c r="AV442" s="114" t="n"/>
      <c r="AW442" s="114" t="n"/>
      <c r="AX442" s="81" t="n"/>
      <c r="AY442" s="113" t="n"/>
      <c r="AZ442" s="115">
        <f>IF($B442="","",COUNTIF(References!$A$4:$A$503,$A442))</f>
        <v/>
      </c>
      <c r="BA442" s="115">
        <f>IF($B442="","",(LEN(A442)=0)+(LEN(B442)=0)+(LEN(D442)=0)+(LEN(G442)=0)+(LEN(H442)=0)+(LEN(I442)=0)+(LEN(J442)=0)+(LEN(L442)=0)+(LEN(M442)=0)+(LEN(O442)=0)+(LEN(R442)=0)+(LEN(X442)=0)+(LEN(AI442)=0)+(LEN(AJ442)=0)+(LEN(AQ442)=0)+(LEN(AR442)=0)+(LEN(AT442)=0)+(LEN(AU442)=0)+(LEN(AV442)=0)+(LEN(AX442)=0))</f>
        <v/>
      </c>
      <c r="BB442" s="115">
        <f>IF($B442="","",IF(AND(BA442=0,AZ442&gt;=1),"Complete","Incomplete"))</f>
        <v/>
      </c>
    </row>
    <row r="443" ht="15" customHeight="1" s="62">
      <c r="A443" s="81" t="n"/>
      <c r="B443" s="113" t="n"/>
      <c r="C443" s="81" t="n"/>
      <c r="D443" s="81" t="n"/>
      <c r="E443" s="81" t="n"/>
      <c r="F443" s="81" t="n"/>
      <c r="G443" s="81" t="n"/>
      <c r="H443" s="81" t="n"/>
      <c r="I443" s="81" t="n"/>
      <c r="J443" s="81" t="n"/>
      <c r="K443" s="81" t="n"/>
      <c r="L443" s="113" t="n"/>
      <c r="M443" s="81" t="n"/>
      <c r="N443" s="81" t="n"/>
      <c r="O443" s="81" t="n"/>
      <c r="P443" s="81" t="n"/>
      <c r="Q443" s="113" t="n"/>
      <c r="R443" s="113" t="n"/>
      <c r="S443" s="113" t="n"/>
      <c r="T443" s="81" t="n"/>
      <c r="U443" s="81" t="n"/>
      <c r="V443" s="113" t="n"/>
      <c r="W443" s="81" t="n"/>
      <c r="X443" s="81" t="n"/>
      <c r="Y443" s="81" t="n"/>
      <c r="Z443" s="81" t="n"/>
      <c r="AA443" s="81" t="n"/>
      <c r="AB443" s="81" t="n"/>
      <c r="AC443" s="81" t="n"/>
      <c r="AD443" s="81" t="n"/>
      <c r="AE443" s="81" t="n"/>
      <c r="AF443" s="81" t="n"/>
      <c r="AG443" s="81" t="n"/>
      <c r="AH443" s="113" t="n"/>
      <c r="AI443" s="81" t="n"/>
      <c r="AJ443" s="81" t="n"/>
      <c r="AK443" s="113" t="n"/>
      <c r="AL443" s="81" t="n"/>
      <c r="AM443" s="81" t="n"/>
      <c r="AN443" s="81" t="n"/>
      <c r="AO443" s="113" t="n"/>
      <c r="AP443" s="113" t="n"/>
      <c r="AQ443" s="81" t="n"/>
      <c r="AR443" s="113" t="n"/>
      <c r="AS443" s="113" t="n"/>
      <c r="AT443" s="114" t="n"/>
      <c r="AU443" s="81" t="n"/>
      <c r="AV443" s="114" t="n"/>
      <c r="AW443" s="114" t="n"/>
      <c r="AX443" s="81" t="n"/>
      <c r="AY443" s="113" t="n"/>
      <c r="AZ443" s="115">
        <f>IF($B443="","",COUNTIF(References!$A$4:$A$503,$A443))</f>
        <v/>
      </c>
      <c r="BA443" s="115">
        <f>IF($B443="","",(LEN(A443)=0)+(LEN(B443)=0)+(LEN(D443)=0)+(LEN(G443)=0)+(LEN(H443)=0)+(LEN(I443)=0)+(LEN(J443)=0)+(LEN(L443)=0)+(LEN(M443)=0)+(LEN(O443)=0)+(LEN(R443)=0)+(LEN(X443)=0)+(LEN(AI443)=0)+(LEN(AJ443)=0)+(LEN(AQ443)=0)+(LEN(AR443)=0)+(LEN(AT443)=0)+(LEN(AU443)=0)+(LEN(AV443)=0)+(LEN(AX443)=0))</f>
        <v/>
      </c>
      <c r="BB443" s="115">
        <f>IF($B443="","",IF(AND(BA443=0,AZ443&gt;=1),"Complete","Incomplete"))</f>
        <v/>
      </c>
    </row>
    <row r="444" ht="15" customHeight="1" s="62">
      <c r="A444" s="81" t="n"/>
      <c r="B444" s="113" t="n"/>
      <c r="C444" s="81" t="n"/>
      <c r="D444" s="81" t="n"/>
      <c r="E444" s="81" t="n"/>
      <c r="F444" s="81" t="n"/>
      <c r="G444" s="81" t="n"/>
      <c r="H444" s="81" t="n"/>
      <c r="I444" s="81" t="n"/>
      <c r="J444" s="81" t="n"/>
      <c r="K444" s="81" t="n"/>
      <c r="L444" s="113" t="n"/>
      <c r="M444" s="81" t="n"/>
      <c r="N444" s="81" t="n"/>
      <c r="O444" s="81" t="n"/>
      <c r="P444" s="81" t="n"/>
      <c r="Q444" s="113" t="n"/>
      <c r="R444" s="113" t="n"/>
      <c r="S444" s="113" t="n"/>
      <c r="T444" s="81" t="n"/>
      <c r="U444" s="81" t="n"/>
      <c r="V444" s="113" t="n"/>
      <c r="W444" s="81" t="n"/>
      <c r="X444" s="81" t="n"/>
      <c r="Y444" s="81" t="n"/>
      <c r="Z444" s="81" t="n"/>
      <c r="AA444" s="81" t="n"/>
      <c r="AB444" s="81" t="n"/>
      <c r="AC444" s="81" t="n"/>
      <c r="AD444" s="81" t="n"/>
      <c r="AE444" s="81" t="n"/>
      <c r="AF444" s="81" t="n"/>
      <c r="AG444" s="81" t="n"/>
      <c r="AH444" s="113" t="n"/>
      <c r="AI444" s="81" t="n"/>
      <c r="AJ444" s="81" t="n"/>
      <c r="AK444" s="113" t="n"/>
      <c r="AL444" s="81" t="n"/>
      <c r="AM444" s="81" t="n"/>
      <c r="AN444" s="81" t="n"/>
      <c r="AO444" s="113" t="n"/>
      <c r="AP444" s="113" t="n"/>
      <c r="AQ444" s="81" t="n"/>
      <c r="AR444" s="113" t="n"/>
      <c r="AS444" s="113" t="n"/>
      <c r="AT444" s="114" t="n"/>
      <c r="AU444" s="81" t="n"/>
      <c r="AV444" s="114" t="n"/>
      <c r="AW444" s="114" t="n"/>
      <c r="AX444" s="81" t="n"/>
      <c r="AY444" s="113" t="n"/>
      <c r="AZ444" s="115">
        <f>IF($B444="","",COUNTIF(References!$A$4:$A$503,$A444))</f>
        <v/>
      </c>
      <c r="BA444" s="115">
        <f>IF($B444="","",(LEN(A444)=0)+(LEN(B444)=0)+(LEN(D444)=0)+(LEN(G444)=0)+(LEN(H444)=0)+(LEN(I444)=0)+(LEN(J444)=0)+(LEN(L444)=0)+(LEN(M444)=0)+(LEN(O444)=0)+(LEN(R444)=0)+(LEN(X444)=0)+(LEN(AI444)=0)+(LEN(AJ444)=0)+(LEN(AQ444)=0)+(LEN(AR444)=0)+(LEN(AT444)=0)+(LEN(AU444)=0)+(LEN(AV444)=0)+(LEN(AX444)=0))</f>
        <v/>
      </c>
      <c r="BB444" s="115">
        <f>IF($B444="","",IF(AND(BA444=0,AZ444&gt;=1),"Complete","Incomplete"))</f>
        <v/>
      </c>
    </row>
    <row r="445" ht="15" customHeight="1" s="62">
      <c r="A445" s="81" t="n"/>
      <c r="B445" s="113" t="n"/>
      <c r="C445" s="81" t="n"/>
      <c r="D445" s="81" t="n"/>
      <c r="E445" s="81" t="n"/>
      <c r="F445" s="81" t="n"/>
      <c r="G445" s="81" t="n"/>
      <c r="H445" s="81" t="n"/>
      <c r="I445" s="81" t="n"/>
      <c r="J445" s="81" t="n"/>
      <c r="K445" s="81" t="n"/>
      <c r="L445" s="113" t="n"/>
      <c r="M445" s="81" t="n"/>
      <c r="N445" s="81" t="n"/>
      <c r="O445" s="81" t="n"/>
      <c r="P445" s="81" t="n"/>
      <c r="Q445" s="113" t="n"/>
      <c r="R445" s="113" t="n"/>
      <c r="S445" s="113" t="n"/>
      <c r="T445" s="81" t="n"/>
      <c r="U445" s="81" t="n"/>
      <c r="V445" s="113" t="n"/>
      <c r="W445" s="81" t="n"/>
      <c r="X445" s="81" t="n"/>
      <c r="Y445" s="81" t="n"/>
      <c r="Z445" s="81" t="n"/>
      <c r="AA445" s="81" t="n"/>
      <c r="AB445" s="81" t="n"/>
      <c r="AC445" s="81" t="n"/>
      <c r="AD445" s="81" t="n"/>
      <c r="AE445" s="81" t="n"/>
      <c r="AF445" s="81" t="n"/>
      <c r="AG445" s="81" t="n"/>
      <c r="AH445" s="113" t="n"/>
      <c r="AI445" s="81" t="n"/>
      <c r="AJ445" s="81" t="n"/>
      <c r="AK445" s="113" t="n"/>
      <c r="AL445" s="81" t="n"/>
      <c r="AM445" s="81" t="n"/>
      <c r="AN445" s="81" t="n"/>
      <c r="AO445" s="113" t="n"/>
      <c r="AP445" s="113" t="n"/>
      <c r="AQ445" s="81" t="n"/>
      <c r="AR445" s="113" t="n"/>
      <c r="AS445" s="113" t="n"/>
      <c r="AT445" s="114" t="n"/>
      <c r="AU445" s="81" t="n"/>
      <c r="AV445" s="114" t="n"/>
      <c r="AW445" s="114" t="n"/>
      <c r="AX445" s="81" t="n"/>
      <c r="AY445" s="113" t="n"/>
      <c r="AZ445" s="115">
        <f>IF($B445="","",COUNTIF(References!$A$4:$A$503,$A445))</f>
        <v/>
      </c>
      <c r="BA445" s="115">
        <f>IF($B445="","",(LEN(A445)=0)+(LEN(B445)=0)+(LEN(D445)=0)+(LEN(G445)=0)+(LEN(H445)=0)+(LEN(I445)=0)+(LEN(J445)=0)+(LEN(L445)=0)+(LEN(M445)=0)+(LEN(O445)=0)+(LEN(R445)=0)+(LEN(X445)=0)+(LEN(AI445)=0)+(LEN(AJ445)=0)+(LEN(AQ445)=0)+(LEN(AR445)=0)+(LEN(AT445)=0)+(LEN(AU445)=0)+(LEN(AV445)=0)+(LEN(AX445)=0))</f>
        <v/>
      </c>
      <c r="BB445" s="115">
        <f>IF($B445="","",IF(AND(BA445=0,AZ445&gt;=1),"Complete","Incomplete"))</f>
        <v/>
      </c>
    </row>
    <row r="446" ht="15" customHeight="1" s="62">
      <c r="A446" s="81" t="n"/>
      <c r="B446" s="113" t="n"/>
      <c r="C446" s="81" t="n"/>
      <c r="D446" s="81" t="n"/>
      <c r="E446" s="81" t="n"/>
      <c r="F446" s="81" t="n"/>
      <c r="G446" s="81" t="n"/>
      <c r="H446" s="81" t="n"/>
      <c r="I446" s="81" t="n"/>
      <c r="J446" s="81" t="n"/>
      <c r="K446" s="81" t="n"/>
      <c r="L446" s="113" t="n"/>
      <c r="M446" s="81" t="n"/>
      <c r="N446" s="81" t="n"/>
      <c r="O446" s="81" t="n"/>
      <c r="P446" s="81" t="n"/>
      <c r="Q446" s="113" t="n"/>
      <c r="R446" s="113" t="n"/>
      <c r="S446" s="113" t="n"/>
      <c r="T446" s="81" t="n"/>
      <c r="U446" s="81" t="n"/>
      <c r="V446" s="113" t="n"/>
      <c r="W446" s="81" t="n"/>
      <c r="X446" s="81" t="n"/>
      <c r="Y446" s="81" t="n"/>
      <c r="Z446" s="81" t="n"/>
      <c r="AA446" s="81" t="n"/>
      <c r="AB446" s="81" t="n"/>
      <c r="AC446" s="81" t="n"/>
      <c r="AD446" s="81" t="n"/>
      <c r="AE446" s="81" t="n"/>
      <c r="AF446" s="81" t="n"/>
      <c r="AG446" s="81" t="n"/>
      <c r="AH446" s="113" t="n"/>
      <c r="AI446" s="81" t="n"/>
      <c r="AJ446" s="81" t="n"/>
      <c r="AK446" s="113" t="n"/>
      <c r="AL446" s="81" t="n"/>
      <c r="AM446" s="81" t="n"/>
      <c r="AN446" s="81" t="n"/>
      <c r="AO446" s="113" t="n"/>
      <c r="AP446" s="113" t="n"/>
      <c r="AQ446" s="81" t="n"/>
      <c r="AR446" s="113" t="n"/>
      <c r="AS446" s="113" t="n"/>
      <c r="AT446" s="114" t="n"/>
      <c r="AU446" s="81" t="n"/>
      <c r="AV446" s="114" t="n"/>
      <c r="AW446" s="114" t="n"/>
      <c r="AX446" s="81" t="n"/>
      <c r="AY446" s="113" t="n"/>
      <c r="AZ446" s="115">
        <f>IF($B446="","",COUNTIF(References!$A$4:$A$503,$A446))</f>
        <v/>
      </c>
      <c r="BA446" s="115">
        <f>IF($B446="","",(LEN(A446)=0)+(LEN(B446)=0)+(LEN(D446)=0)+(LEN(G446)=0)+(LEN(H446)=0)+(LEN(I446)=0)+(LEN(J446)=0)+(LEN(L446)=0)+(LEN(M446)=0)+(LEN(O446)=0)+(LEN(R446)=0)+(LEN(X446)=0)+(LEN(AI446)=0)+(LEN(AJ446)=0)+(LEN(AQ446)=0)+(LEN(AR446)=0)+(LEN(AT446)=0)+(LEN(AU446)=0)+(LEN(AV446)=0)+(LEN(AX446)=0))</f>
        <v/>
      </c>
      <c r="BB446" s="115">
        <f>IF($B446="","",IF(AND(BA446=0,AZ446&gt;=1),"Complete","Incomplete"))</f>
        <v/>
      </c>
    </row>
    <row r="447" ht="15" customHeight="1" s="62">
      <c r="A447" s="81" t="n"/>
      <c r="B447" s="113" t="n"/>
      <c r="C447" s="81" t="n"/>
      <c r="D447" s="81" t="n"/>
      <c r="E447" s="81" t="n"/>
      <c r="F447" s="81" t="n"/>
      <c r="G447" s="81" t="n"/>
      <c r="H447" s="81" t="n"/>
      <c r="I447" s="81" t="n"/>
      <c r="J447" s="81" t="n"/>
      <c r="K447" s="81" t="n"/>
      <c r="L447" s="113" t="n"/>
      <c r="M447" s="81" t="n"/>
      <c r="N447" s="81" t="n"/>
      <c r="O447" s="81" t="n"/>
      <c r="P447" s="81" t="n"/>
      <c r="Q447" s="113" t="n"/>
      <c r="R447" s="113" t="n"/>
      <c r="S447" s="113" t="n"/>
      <c r="T447" s="81" t="n"/>
      <c r="U447" s="81" t="n"/>
      <c r="V447" s="113" t="n"/>
      <c r="W447" s="81" t="n"/>
      <c r="X447" s="81" t="n"/>
      <c r="Y447" s="81" t="n"/>
      <c r="Z447" s="81" t="n"/>
      <c r="AA447" s="81" t="n"/>
      <c r="AB447" s="81" t="n"/>
      <c r="AC447" s="81" t="n"/>
      <c r="AD447" s="81" t="n"/>
      <c r="AE447" s="81" t="n"/>
      <c r="AF447" s="81" t="n"/>
      <c r="AG447" s="81" t="n"/>
      <c r="AH447" s="113" t="n"/>
      <c r="AI447" s="81" t="n"/>
      <c r="AJ447" s="81" t="n"/>
      <c r="AK447" s="113" t="n"/>
      <c r="AL447" s="81" t="n"/>
      <c r="AM447" s="81" t="n"/>
      <c r="AN447" s="81" t="n"/>
      <c r="AO447" s="113" t="n"/>
      <c r="AP447" s="113" t="n"/>
      <c r="AQ447" s="81" t="n"/>
      <c r="AR447" s="113" t="n"/>
      <c r="AS447" s="113" t="n"/>
      <c r="AT447" s="114" t="n"/>
      <c r="AU447" s="81" t="n"/>
      <c r="AV447" s="114" t="n"/>
      <c r="AW447" s="114" t="n"/>
      <c r="AX447" s="81" t="n"/>
      <c r="AY447" s="113" t="n"/>
      <c r="AZ447" s="115">
        <f>IF($B447="","",COUNTIF(References!$A$4:$A$503,$A447))</f>
        <v/>
      </c>
      <c r="BA447" s="115">
        <f>IF($B447="","",(LEN(A447)=0)+(LEN(B447)=0)+(LEN(D447)=0)+(LEN(G447)=0)+(LEN(H447)=0)+(LEN(I447)=0)+(LEN(J447)=0)+(LEN(L447)=0)+(LEN(M447)=0)+(LEN(O447)=0)+(LEN(R447)=0)+(LEN(X447)=0)+(LEN(AI447)=0)+(LEN(AJ447)=0)+(LEN(AQ447)=0)+(LEN(AR447)=0)+(LEN(AT447)=0)+(LEN(AU447)=0)+(LEN(AV447)=0)+(LEN(AX447)=0))</f>
        <v/>
      </c>
      <c r="BB447" s="115">
        <f>IF($B447="","",IF(AND(BA447=0,AZ447&gt;=1),"Complete","Incomplete"))</f>
        <v/>
      </c>
    </row>
    <row r="448" ht="15" customHeight="1" s="62">
      <c r="A448" s="81" t="n"/>
      <c r="B448" s="113" t="n"/>
      <c r="C448" s="81" t="n"/>
      <c r="D448" s="81" t="n"/>
      <c r="E448" s="81" t="n"/>
      <c r="F448" s="81" t="n"/>
      <c r="G448" s="81" t="n"/>
      <c r="H448" s="81" t="n"/>
      <c r="I448" s="81" t="n"/>
      <c r="J448" s="81" t="n"/>
      <c r="K448" s="81" t="n"/>
      <c r="L448" s="113" t="n"/>
      <c r="M448" s="81" t="n"/>
      <c r="N448" s="81" t="n"/>
      <c r="O448" s="81" t="n"/>
      <c r="P448" s="81" t="n"/>
      <c r="Q448" s="113" t="n"/>
      <c r="R448" s="113" t="n"/>
      <c r="S448" s="113" t="n"/>
      <c r="T448" s="81" t="n"/>
      <c r="U448" s="81" t="n"/>
      <c r="V448" s="113" t="n"/>
      <c r="W448" s="81" t="n"/>
      <c r="X448" s="81" t="n"/>
      <c r="Y448" s="81" t="n"/>
      <c r="Z448" s="81" t="n"/>
      <c r="AA448" s="81" t="n"/>
      <c r="AB448" s="81" t="n"/>
      <c r="AC448" s="81" t="n"/>
      <c r="AD448" s="81" t="n"/>
      <c r="AE448" s="81" t="n"/>
      <c r="AF448" s="81" t="n"/>
      <c r="AG448" s="81" t="n"/>
      <c r="AH448" s="113" t="n"/>
      <c r="AI448" s="81" t="n"/>
      <c r="AJ448" s="81" t="n"/>
      <c r="AK448" s="113" t="n"/>
      <c r="AL448" s="81" t="n"/>
      <c r="AM448" s="81" t="n"/>
      <c r="AN448" s="81" t="n"/>
      <c r="AO448" s="113" t="n"/>
      <c r="AP448" s="113" t="n"/>
      <c r="AQ448" s="81" t="n"/>
      <c r="AR448" s="113" t="n"/>
      <c r="AS448" s="113" t="n"/>
      <c r="AT448" s="114" t="n"/>
      <c r="AU448" s="81" t="n"/>
      <c r="AV448" s="114" t="n"/>
      <c r="AW448" s="114" t="n"/>
      <c r="AX448" s="81" t="n"/>
      <c r="AY448" s="113" t="n"/>
      <c r="AZ448" s="115">
        <f>IF($B448="","",COUNTIF(References!$A$4:$A$503,$A448))</f>
        <v/>
      </c>
      <c r="BA448" s="115">
        <f>IF($B448="","",(LEN(A448)=0)+(LEN(B448)=0)+(LEN(D448)=0)+(LEN(G448)=0)+(LEN(H448)=0)+(LEN(I448)=0)+(LEN(J448)=0)+(LEN(L448)=0)+(LEN(M448)=0)+(LEN(O448)=0)+(LEN(R448)=0)+(LEN(X448)=0)+(LEN(AI448)=0)+(LEN(AJ448)=0)+(LEN(AQ448)=0)+(LEN(AR448)=0)+(LEN(AT448)=0)+(LEN(AU448)=0)+(LEN(AV448)=0)+(LEN(AX448)=0))</f>
        <v/>
      </c>
      <c r="BB448" s="115">
        <f>IF($B448="","",IF(AND(BA448=0,AZ448&gt;=1),"Complete","Incomplete"))</f>
        <v/>
      </c>
    </row>
    <row r="449" ht="15" customHeight="1" s="62">
      <c r="A449" s="81" t="n"/>
      <c r="B449" s="113" t="n"/>
      <c r="C449" s="81" t="n"/>
      <c r="D449" s="81" t="n"/>
      <c r="E449" s="81" t="n"/>
      <c r="F449" s="81" t="n"/>
      <c r="G449" s="81" t="n"/>
      <c r="H449" s="81" t="n"/>
      <c r="I449" s="81" t="n"/>
      <c r="J449" s="81" t="n"/>
      <c r="K449" s="81" t="n"/>
      <c r="L449" s="113" t="n"/>
      <c r="M449" s="81" t="n"/>
      <c r="N449" s="81" t="n"/>
      <c r="O449" s="81" t="n"/>
      <c r="P449" s="81" t="n"/>
      <c r="Q449" s="113" t="n"/>
      <c r="R449" s="113" t="n"/>
      <c r="S449" s="113" t="n"/>
      <c r="T449" s="81" t="n"/>
      <c r="U449" s="81" t="n"/>
      <c r="V449" s="113" t="n"/>
      <c r="W449" s="81" t="n"/>
      <c r="X449" s="81" t="n"/>
      <c r="Y449" s="81" t="n"/>
      <c r="Z449" s="81" t="n"/>
      <c r="AA449" s="81" t="n"/>
      <c r="AB449" s="81" t="n"/>
      <c r="AC449" s="81" t="n"/>
      <c r="AD449" s="81" t="n"/>
      <c r="AE449" s="81" t="n"/>
      <c r="AF449" s="81" t="n"/>
      <c r="AG449" s="81" t="n"/>
      <c r="AH449" s="113" t="n"/>
      <c r="AI449" s="81" t="n"/>
      <c r="AJ449" s="81" t="n"/>
      <c r="AK449" s="113" t="n"/>
      <c r="AL449" s="81" t="n"/>
      <c r="AM449" s="81" t="n"/>
      <c r="AN449" s="81" t="n"/>
      <c r="AO449" s="113" t="n"/>
      <c r="AP449" s="113" t="n"/>
      <c r="AQ449" s="81" t="n"/>
      <c r="AR449" s="113" t="n"/>
      <c r="AS449" s="113" t="n"/>
      <c r="AT449" s="114" t="n"/>
      <c r="AU449" s="81" t="n"/>
      <c r="AV449" s="114" t="n"/>
      <c r="AW449" s="114" t="n"/>
      <c r="AX449" s="81" t="n"/>
      <c r="AY449" s="113" t="n"/>
      <c r="AZ449" s="115">
        <f>IF($B449="","",COUNTIF(References!$A$4:$A$503,$A449))</f>
        <v/>
      </c>
      <c r="BA449" s="115">
        <f>IF($B449="","",(LEN(A449)=0)+(LEN(B449)=0)+(LEN(D449)=0)+(LEN(G449)=0)+(LEN(H449)=0)+(LEN(I449)=0)+(LEN(J449)=0)+(LEN(L449)=0)+(LEN(M449)=0)+(LEN(O449)=0)+(LEN(R449)=0)+(LEN(X449)=0)+(LEN(AI449)=0)+(LEN(AJ449)=0)+(LEN(AQ449)=0)+(LEN(AR449)=0)+(LEN(AT449)=0)+(LEN(AU449)=0)+(LEN(AV449)=0)+(LEN(AX449)=0))</f>
        <v/>
      </c>
      <c r="BB449" s="115">
        <f>IF($B449="","",IF(AND(BA449=0,AZ449&gt;=1),"Complete","Incomplete"))</f>
        <v/>
      </c>
    </row>
    <row r="450" ht="15" customHeight="1" s="62">
      <c r="A450" s="81" t="n"/>
      <c r="B450" s="113" t="n"/>
      <c r="C450" s="81" t="n"/>
      <c r="D450" s="81" t="n"/>
      <c r="E450" s="81" t="n"/>
      <c r="F450" s="81" t="n"/>
      <c r="G450" s="81" t="n"/>
      <c r="H450" s="81" t="n"/>
      <c r="I450" s="81" t="n"/>
      <c r="J450" s="81" t="n"/>
      <c r="K450" s="81" t="n"/>
      <c r="L450" s="113" t="n"/>
      <c r="M450" s="81" t="n"/>
      <c r="N450" s="81" t="n"/>
      <c r="O450" s="81" t="n"/>
      <c r="P450" s="81" t="n"/>
      <c r="Q450" s="113" t="n"/>
      <c r="R450" s="113" t="n"/>
      <c r="S450" s="113" t="n"/>
      <c r="T450" s="81" t="n"/>
      <c r="U450" s="81" t="n"/>
      <c r="V450" s="113" t="n"/>
      <c r="W450" s="81" t="n"/>
      <c r="X450" s="81" t="n"/>
      <c r="Y450" s="81" t="n"/>
      <c r="Z450" s="81" t="n"/>
      <c r="AA450" s="81" t="n"/>
      <c r="AB450" s="81" t="n"/>
      <c r="AC450" s="81" t="n"/>
      <c r="AD450" s="81" t="n"/>
      <c r="AE450" s="81" t="n"/>
      <c r="AF450" s="81" t="n"/>
      <c r="AG450" s="81" t="n"/>
      <c r="AH450" s="113" t="n"/>
      <c r="AI450" s="81" t="n"/>
      <c r="AJ450" s="81" t="n"/>
      <c r="AK450" s="113" t="n"/>
      <c r="AL450" s="81" t="n"/>
      <c r="AM450" s="81" t="n"/>
      <c r="AN450" s="81" t="n"/>
      <c r="AO450" s="113" t="n"/>
      <c r="AP450" s="113" t="n"/>
      <c r="AQ450" s="81" t="n"/>
      <c r="AR450" s="113" t="n"/>
      <c r="AS450" s="113" t="n"/>
      <c r="AT450" s="114" t="n"/>
      <c r="AU450" s="81" t="n"/>
      <c r="AV450" s="114" t="n"/>
      <c r="AW450" s="114" t="n"/>
      <c r="AX450" s="81" t="n"/>
      <c r="AY450" s="113" t="n"/>
      <c r="AZ450" s="115">
        <f>IF($B450="","",COUNTIF(References!$A$4:$A$503,$A450))</f>
        <v/>
      </c>
      <c r="BA450" s="115">
        <f>IF($B450="","",(LEN(A450)=0)+(LEN(B450)=0)+(LEN(D450)=0)+(LEN(G450)=0)+(LEN(H450)=0)+(LEN(I450)=0)+(LEN(J450)=0)+(LEN(L450)=0)+(LEN(M450)=0)+(LEN(O450)=0)+(LEN(R450)=0)+(LEN(X450)=0)+(LEN(AI450)=0)+(LEN(AJ450)=0)+(LEN(AQ450)=0)+(LEN(AR450)=0)+(LEN(AT450)=0)+(LEN(AU450)=0)+(LEN(AV450)=0)+(LEN(AX450)=0))</f>
        <v/>
      </c>
      <c r="BB450" s="115">
        <f>IF($B450="","",IF(AND(BA450=0,AZ450&gt;=1),"Complete","Incomplete"))</f>
        <v/>
      </c>
    </row>
    <row r="451" ht="15" customHeight="1" s="62">
      <c r="A451" s="81" t="n"/>
      <c r="B451" s="113" t="n"/>
      <c r="C451" s="81" t="n"/>
      <c r="D451" s="81" t="n"/>
      <c r="E451" s="81" t="n"/>
      <c r="F451" s="81" t="n"/>
      <c r="G451" s="81" t="n"/>
      <c r="H451" s="81" t="n"/>
      <c r="I451" s="81" t="n"/>
      <c r="J451" s="81" t="n"/>
      <c r="K451" s="81" t="n"/>
      <c r="L451" s="113" t="n"/>
      <c r="M451" s="81" t="n"/>
      <c r="N451" s="81" t="n"/>
      <c r="O451" s="81" t="n"/>
      <c r="P451" s="81" t="n"/>
      <c r="Q451" s="113" t="n"/>
      <c r="R451" s="113" t="n"/>
      <c r="S451" s="113" t="n"/>
      <c r="T451" s="81" t="n"/>
      <c r="U451" s="81" t="n"/>
      <c r="V451" s="113" t="n"/>
      <c r="W451" s="81" t="n"/>
      <c r="X451" s="81" t="n"/>
      <c r="Y451" s="81" t="n"/>
      <c r="Z451" s="81" t="n"/>
      <c r="AA451" s="81" t="n"/>
      <c r="AB451" s="81" t="n"/>
      <c r="AC451" s="81" t="n"/>
      <c r="AD451" s="81" t="n"/>
      <c r="AE451" s="81" t="n"/>
      <c r="AF451" s="81" t="n"/>
      <c r="AG451" s="81" t="n"/>
      <c r="AH451" s="113" t="n"/>
      <c r="AI451" s="81" t="n"/>
      <c r="AJ451" s="81" t="n"/>
      <c r="AK451" s="113" t="n"/>
      <c r="AL451" s="81" t="n"/>
      <c r="AM451" s="81" t="n"/>
      <c r="AN451" s="81" t="n"/>
      <c r="AO451" s="113" t="n"/>
      <c r="AP451" s="113" t="n"/>
      <c r="AQ451" s="81" t="n"/>
      <c r="AR451" s="113" t="n"/>
      <c r="AS451" s="113" t="n"/>
      <c r="AT451" s="114" t="n"/>
      <c r="AU451" s="81" t="n"/>
      <c r="AV451" s="114" t="n"/>
      <c r="AW451" s="114" t="n"/>
      <c r="AX451" s="81" t="n"/>
      <c r="AY451" s="113" t="n"/>
      <c r="AZ451" s="115">
        <f>IF($B451="","",COUNTIF(References!$A$4:$A$503,$A451))</f>
        <v/>
      </c>
      <c r="BA451" s="115">
        <f>IF($B451="","",(LEN(A451)=0)+(LEN(B451)=0)+(LEN(D451)=0)+(LEN(G451)=0)+(LEN(H451)=0)+(LEN(I451)=0)+(LEN(J451)=0)+(LEN(L451)=0)+(LEN(M451)=0)+(LEN(O451)=0)+(LEN(R451)=0)+(LEN(X451)=0)+(LEN(AI451)=0)+(LEN(AJ451)=0)+(LEN(AQ451)=0)+(LEN(AR451)=0)+(LEN(AT451)=0)+(LEN(AU451)=0)+(LEN(AV451)=0)+(LEN(AX451)=0))</f>
        <v/>
      </c>
      <c r="BB451" s="115">
        <f>IF($B451="","",IF(AND(BA451=0,AZ451&gt;=1),"Complete","Incomplete"))</f>
        <v/>
      </c>
    </row>
    <row r="452" ht="15" customHeight="1" s="62">
      <c r="A452" s="81" t="n"/>
      <c r="B452" s="113" t="n"/>
      <c r="C452" s="81" t="n"/>
      <c r="D452" s="81" t="n"/>
      <c r="E452" s="81" t="n"/>
      <c r="F452" s="81" t="n"/>
      <c r="G452" s="81" t="n"/>
      <c r="H452" s="81" t="n"/>
      <c r="I452" s="81" t="n"/>
      <c r="J452" s="81" t="n"/>
      <c r="K452" s="81" t="n"/>
      <c r="L452" s="113" t="n"/>
      <c r="M452" s="81" t="n"/>
      <c r="N452" s="81" t="n"/>
      <c r="O452" s="81" t="n"/>
      <c r="P452" s="81" t="n"/>
      <c r="Q452" s="113" t="n"/>
      <c r="R452" s="113" t="n"/>
      <c r="S452" s="113" t="n"/>
      <c r="T452" s="81" t="n"/>
      <c r="U452" s="81" t="n"/>
      <c r="V452" s="113" t="n"/>
      <c r="W452" s="81" t="n"/>
      <c r="X452" s="81" t="n"/>
      <c r="Y452" s="81" t="n"/>
      <c r="Z452" s="81" t="n"/>
      <c r="AA452" s="81" t="n"/>
      <c r="AB452" s="81" t="n"/>
      <c r="AC452" s="81" t="n"/>
      <c r="AD452" s="81" t="n"/>
      <c r="AE452" s="81" t="n"/>
      <c r="AF452" s="81" t="n"/>
      <c r="AG452" s="81" t="n"/>
      <c r="AH452" s="113" t="n"/>
      <c r="AI452" s="81" t="n"/>
      <c r="AJ452" s="81" t="n"/>
      <c r="AK452" s="113" t="n"/>
      <c r="AL452" s="81" t="n"/>
      <c r="AM452" s="81" t="n"/>
      <c r="AN452" s="81" t="n"/>
      <c r="AO452" s="113" t="n"/>
      <c r="AP452" s="113" t="n"/>
      <c r="AQ452" s="81" t="n"/>
      <c r="AR452" s="113" t="n"/>
      <c r="AS452" s="113" t="n"/>
      <c r="AT452" s="114" t="n"/>
      <c r="AU452" s="81" t="n"/>
      <c r="AV452" s="114" t="n"/>
      <c r="AW452" s="114" t="n"/>
      <c r="AX452" s="81" t="n"/>
      <c r="AY452" s="113" t="n"/>
      <c r="AZ452" s="115">
        <f>IF($B452="","",COUNTIF(References!$A$4:$A$503,$A452))</f>
        <v/>
      </c>
      <c r="BA452" s="115">
        <f>IF($B452="","",(LEN(A452)=0)+(LEN(B452)=0)+(LEN(D452)=0)+(LEN(G452)=0)+(LEN(H452)=0)+(LEN(I452)=0)+(LEN(J452)=0)+(LEN(L452)=0)+(LEN(M452)=0)+(LEN(O452)=0)+(LEN(R452)=0)+(LEN(X452)=0)+(LEN(AI452)=0)+(LEN(AJ452)=0)+(LEN(AQ452)=0)+(LEN(AR452)=0)+(LEN(AT452)=0)+(LEN(AU452)=0)+(LEN(AV452)=0)+(LEN(AX452)=0))</f>
        <v/>
      </c>
      <c r="BB452" s="115">
        <f>IF($B452="","",IF(AND(BA452=0,AZ452&gt;=1),"Complete","Incomplete"))</f>
        <v/>
      </c>
    </row>
    <row r="453" ht="15" customHeight="1" s="62">
      <c r="A453" s="81" t="n"/>
      <c r="B453" s="113" t="n"/>
      <c r="C453" s="81" t="n"/>
      <c r="D453" s="81" t="n"/>
      <c r="E453" s="81" t="n"/>
      <c r="F453" s="81" t="n"/>
      <c r="G453" s="81" t="n"/>
      <c r="H453" s="81" t="n"/>
      <c r="I453" s="81" t="n"/>
      <c r="J453" s="81" t="n"/>
      <c r="K453" s="81" t="n"/>
      <c r="L453" s="113" t="n"/>
      <c r="M453" s="81" t="n"/>
      <c r="N453" s="81" t="n"/>
      <c r="O453" s="81" t="n"/>
      <c r="P453" s="81" t="n"/>
      <c r="Q453" s="113" t="n"/>
      <c r="R453" s="113" t="n"/>
      <c r="S453" s="113" t="n"/>
      <c r="T453" s="81" t="n"/>
      <c r="U453" s="81" t="n"/>
      <c r="V453" s="113" t="n"/>
      <c r="W453" s="81" t="n"/>
      <c r="X453" s="81" t="n"/>
      <c r="Y453" s="81" t="n"/>
      <c r="Z453" s="81" t="n"/>
      <c r="AA453" s="81" t="n"/>
      <c r="AB453" s="81" t="n"/>
      <c r="AC453" s="81" t="n"/>
      <c r="AD453" s="81" t="n"/>
      <c r="AE453" s="81" t="n"/>
      <c r="AF453" s="81" t="n"/>
      <c r="AG453" s="81" t="n"/>
      <c r="AH453" s="113" t="n"/>
      <c r="AI453" s="81" t="n"/>
      <c r="AJ453" s="81" t="n"/>
      <c r="AK453" s="113" t="n"/>
      <c r="AL453" s="81" t="n"/>
      <c r="AM453" s="81" t="n"/>
      <c r="AN453" s="81" t="n"/>
      <c r="AO453" s="113" t="n"/>
      <c r="AP453" s="113" t="n"/>
      <c r="AQ453" s="81" t="n"/>
      <c r="AR453" s="113" t="n"/>
      <c r="AS453" s="113" t="n"/>
      <c r="AT453" s="114" t="n"/>
      <c r="AU453" s="81" t="n"/>
      <c r="AV453" s="114" t="n"/>
      <c r="AW453" s="114" t="n"/>
      <c r="AX453" s="81" t="n"/>
      <c r="AY453" s="113" t="n"/>
      <c r="AZ453" s="115">
        <f>IF($B453="","",COUNTIF(References!$A$4:$A$503,$A453))</f>
        <v/>
      </c>
      <c r="BA453" s="115">
        <f>IF($B453="","",(LEN(A453)=0)+(LEN(B453)=0)+(LEN(D453)=0)+(LEN(G453)=0)+(LEN(H453)=0)+(LEN(I453)=0)+(LEN(J453)=0)+(LEN(L453)=0)+(LEN(M453)=0)+(LEN(O453)=0)+(LEN(R453)=0)+(LEN(X453)=0)+(LEN(AI453)=0)+(LEN(AJ453)=0)+(LEN(AQ453)=0)+(LEN(AR453)=0)+(LEN(AT453)=0)+(LEN(AU453)=0)+(LEN(AV453)=0)+(LEN(AX453)=0))</f>
        <v/>
      </c>
      <c r="BB453" s="115">
        <f>IF($B453="","",IF(AND(BA453=0,AZ453&gt;=1),"Complete","Incomplete"))</f>
        <v/>
      </c>
    </row>
    <row r="454" ht="15" customHeight="1" s="62">
      <c r="A454" s="81" t="n"/>
      <c r="B454" s="113" t="n"/>
      <c r="C454" s="81" t="n"/>
      <c r="D454" s="81" t="n"/>
      <c r="E454" s="81" t="n"/>
      <c r="F454" s="81" t="n"/>
      <c r="G454" s="81" t="n"/>
      <c r="H454" s="81" t="n"/>
      <c r="I454" s="81" t="n"/>
      <c r="J454" s="81" t="n"/>
      <c r="K454" s="81" t="n"/>
      <c r="L454" s="113" t="n"/>
      <c r="M454" s="81" t="n"/>
      <c r="N454" s="81" t="n"/>
      <c r="O454" s="81" t="n"/>
      <c r="P454" s="81" t="n"/>
      <c r="Q454" s="113" t="n"/>
      <c r="R454" s="113" t="n"/>
      <c r="S454" s="113" t="n"/>
      <c r="T454" s="81" t="n"/>
      <c r="U454" s="81" t="n"/>
      <c r="V454" s="113" t="n"/>
      <c r="W454" s="81" t="n"/>
      <c r="X454" s="81" t="n"/>
      <c r="Y454" s="81" t="n"/>
      <c r="Z454" s="81" t="n"/>
      <c r="AA454" s="81" t="n"/>
      <c r="AB454" s="81" t="n"/>
      <c r="AC454" s="81" t="n"/>
      <c r="AD454" s="81" t="n"/>
      <c r="AE454" s="81" t="n"/>
      <c r="AF454" s="81" t="n"/>
      <c r="AG454" s="81" t="n"/>
      <c r="AH454" s="113" t="n"/>
      <c r="AI454" s="81" t="n"/>
      <c r="AJ454" s="81" t="n"/>
      <c r="AK454" s="113" t="n"/>
      <c r="AL454" s="81" t="n"/>
      <c r="AM454" s="81" t="n"/>
      <c r="AN454" s="81" t="n"/>
      <c r="AO454" s="113" t="n"/>
      <c r="AP454" s="113" t="n"/>
      <c r="AQ454" s="81" t="n"/>
      <c r="AR454" s="113" t="n"/>
      <c r="AS454" s="113" t="n"/>
      <c r="AT454" s="114" t="n"/>
      <c r="AU454" s="81" t="n"/>
      <c r="AV454" s="114" t="n"/>
      <c r="AW454" s="114" t="n"/>
      <c r="AX454" s="81" t="n"/>
      <c r="AY454" s="113" t="n"/>
      <c r="AZ454" s="115">
        <f>IF($B454="","",COUNTIF(References!$A$4:$A$503,$A454))</f>
        <v/>
      </c>
      <c r="BA454" s="115">
        <f>IF($B454="","",(LEN(A454)=0)+(LEN(B454)=0)+(LEN(D454)=0)+(LEN(G454)=0)+(LEN(H454)=0)+(LEN(I454)=0)+(LEN(J454)=0)+(LEN(L454)=0)+(LEN(M454)=0)+(LEN(O454)=0)+(LEN(R454)=0)+(LEN(X454)=0)+(LEN(AI454)=0)+(LEN(AJ454)=0)+(LEN(AQ454)=0)+(LEN(AR454)=0)+(LEN(AT454)=0)+(LEN(AU454)=0)+(LEN(AV454)=0)+(LEN(AX454)=0))</f>
        <v/>
      </c>
      <c r="BB454" s="115">
        <f>IF($B454="","",IF(AND(BA454=0,AZ454&gt;=1),"Complete","Incomplete"))</f>
        <v/>
      </c>
    </row>
    <row r="455" ht="15" customHeight="1" s="62">
      <c r="A455" s="81" t="n"/>
      <c r="B455" s="113" t="n"/>
      <c r="C455" s="81" t="n"/>
      <c r="D455" s="81" t="n"/>
      <c r="E455" s="81" t="n"/>
      <c r="F455" s="81" t="n"/>
      <c r="G455" s="81" t="n"/>
      <c r="H455" s="81" t="n"/>
      <c r="I455" s="81" t="n"/>
      <c r="J455" s="81" t="n"/>
      <c r="K455" s="81" t="n"/>
      <c r="L455" s="113" t="n"/>
      <c r="M455" s="81" t="n"/>
      <c r="N455" s="81" t="n"/>
      <c r="O455" s="81" t="n"/>
      <c r="P455" s="81" t="n"/>
      <c r="Q455" s="113" t="n"/>
      <c r="R455" s="113" t="n"/>
      <c r="S455" s="113" t="n"/>
      <c r="T455" s="81" t="n"/>
      <c r="U455" s="81" t="n"/>
      <c r="V455" s="113" t="n"/>
      <c r="W455" s="81" t="n"/>
      <c r="X455" s="81" t="n"/>
      <c r="Y455" s="81" t="n"/>
      <c r="Z455" s="81" t="n"/>
      <c r="AA455" s="81" t="n"/>
      <c r="AB455" s="81" t="n"/>
      <c r="AC455" s="81" t="n"/>
      <c r="AD455" s="81" t="n"/>
      <c r="AE455" s="81" t="n"/>
      <c r="AF455" s="81" t="n"/>
      <c r="AG455" s="81" t="n"/>
      <c r="AH455" s="113" t="n"/>
      <c r="AI455" s="81" t="n"/>
      <c r="AJ455" s="81" t="n"/>
      <c r="AK455" s="113" t="n"/>
      <c r="AL455" s="81" t="n"/>
      <c r="AM455" s="81" t="n"/>
      <c r="AN455" s="81" t="n"/>
      <c r="AO455" s="113" t="n"/>
      <c r="AP455" s="113" t="n"/>
      <c r="AQ455" s="81" t="n"/>
      <c r="AR455" s="113" t="n"/>
      <c r="AS455" s="113" t="n"/>
      <c r="AT455" s="114" t="n"/>
      <c r="AU455" s="81" t="n"/>
      <c r="AV455" s="114" t="n"/>
      <c r="AW455" s="114" t="n"/>
      <c r="AX455" s="81" t="n"/>
      <c r="AY455" s="113" t="n"/>
      <c r="AZ455" s="115">
        <f>IF($B455="","",COUNTIF(References!$A$4:$A$503,$A455))</f>
        <v/>
      </c>
      <c r="BA455" s="115">
        <f>IF($B455="","",(LEN(A455)=0)+(LEN(B455)=0)+(LEN(D455)=0)+(LEN(G455)=0)+(LEN(H455)=0)+(LEN(I455)=0)+(LEN(J455)=0)+(LEN(L455)=0)+(LEN(M455)=0)+(LEN(O455)=0)+(LEN(R455)=0)+(LEN(X455)=0)+(LEN(AI455)=0)+(LEN(AJ455)=0)+(LEN(AQ455)=0)+(LEN(AR455)=0)+(LEN(AT455)=0)+(LEN(AU455)=0)+(LEN(AV455)=0)+(LEN(AX455)=0))</f>
        <v/>
      </c>
      <c r="BB455" s="115">
        <f>IF($B455="","",IF(AND(BA455=0,AZ455&gt;=1),"Complete","Incomplete"))</f>
        <v/>
      </c>
    </row>
    <row r="456" ht="15" customHeight="1" s="62">
      <c r="A456" s="81" t="n"/>
      <c r="B456" s="113" t="n"/>
      <c r="C456" s="81" t="n"/>
      <c r="D456" s="81" t="n"/>
      <c r="E456" s="81" t="n"/>
      <c r="F456" s="81" t="n"/>
      <c r="G456" s="81" t="n"/>
      <c r="H456" s="81" t="n"/>
      <c r="I456" s="81" t="n"/>
      <c r="J456" s="81" t="n"/>
      <c r="K456" s="81" t="n"/>
      <c r="L456" s="113" t="n"/>
      <c r="M456" s="81" t="n"/>
      <c r="N456" s="81" t="n"/>
      <c r="O456" s="81" t="n"/>
      <c r="P456" s="81" t="n"/>
      <c r="Q456" s="113" t="n"/>
      <c r="R456" s="113" t="n"/>
      <c r="S456" s="113" t="n"/>
      <c r="T456" s="81" t="n"/>
      <c r="U456" s="81" t="n"/>
      <c r="V456" s="113" t="n"/>
      <c r="W456" s="81" t="n"/>
      <c r="X456" s="81" t="n"/>
      <c r="Y456" s="81" t="n"/>
      <c r="Z456" s="81" t="n"/>
      <c r="AA456" s="81" t="n"/>
      <c r="AB456" s="81" t="n"/>
      <c r="AC456" s="81" t="n"/>
      <c r="AD456" s="81" t="n"/>
      <c r="AE456" s="81" t="n"/>
      <c r="AF456" s="81" t="n"/>
      <c r="AG456" s="81" t="n"/>
      <c r="AH456" s="113" t="n"/>
      <c r="AI456" s="81" t="n"/>
      <c r="AJ456" s="81" t="n"/>
      <c r="AK456" s="113" t="n"/>
      <c r="AL456" s="81" t="n"/>
      <c r="AM456" s="81" t="n"/>
      <c r="AN456" s="81" t="n"/>
      <c r="AO456" s="113" t="n"/>
      <c r="AP456" s="113" t="n"/>
      <c r="AQ456" s="81" t="n"/>
      <c r="AR456" s="113" t="n"/>
      <c r="AS456" s="113" t="n"/>
      <c r="AT456" s="114" t="n"/>
      <c r="AU456" s="81" t="n"/>
      <c r="AV456" s="114" t="n"/>
      <c r="AW456" s="114" t="n"/>
      <c r="AX456" s="81" t="n"/>
      <c r="AY456" s="113" t="n"/>
      <c r="AZ456" s="115">
        <f>IF($B456="","",COUNTIF(References!$A$4:$A$503,$A456))</f>
        <v/>
      </c>
      <c r="BA456" s="115">
        <f>IF($B456="","",(LEN(A456)=0)+(LEN(B456)=0)+(LEN(D456)=0)+(LEN(G456)=0)+(LEN(H456)=0)+(LEN(I456)=0)+(LEN(J456)=0)+(LEN(L456)=0)+(LEN(M456)=0)+(LEN(O456)=0)+(LEN(R456)=0)+(LEN(X456)=0)+(LEN(AI456)=0)+(LEN(AJ456)=0)+(LEN(AQ456)=0)+(LEN(AR456)=0)+(LEN(AT456)=0)+(LEN(AU456)=0)+(LEN(AV456)=0)+(LEN(AX456)=0))</f>
        <v/>
      </c>
      <c r="BB456" s="115">
        <f>IF($B456="","",IF(AND(BA456=0,AZ456&gt;=1),"Complete","Incomplete"))</f>
        <v/>
      </c>
    </row>
    <row r="457" ht="15" customHeight="1" s="62">
      <c r="A457" s="81" t="n"/>
      <c r="B457" s="113" t="n"/>
      <c r="C457" s="81" t="n"/>
      <c r="D457" s="81" t="n"/>
      <c r="E457" s="81" t="n"/>
      <c r="F457" s="81" t="n"/>
      <c r="G457" s="81" t="n"/>
      <c r="H457" s="81" t="n"/>
      <c r="I457" s="81" t="n"/>
      <c r="J457" s="81" t="n"/>
      <c r="K457" s="81" t="n"/>
      <c r="L457" s="113" t="n"/>
      <c r="M457" s="81" t="n"/>
      <c r="N457" s="81" t="n"/>
      <c r="O457" s="81" t="n"/>
      <c r="P457" s="81" t="n"/>
      <c r="Q457" s="113" t="n"/>
      <c r="R457" s="113" t="n"/>
      <c r="S457" s="113" t="n"/>
      <c r="T457" s="81" t="n"/>
      <c r="U457" s="81" t="n"/>
      <c r="V457" s="113" t="n"/>
      <c r="W457" s="81" t="n"/>
      <c r="X457" s="81" t="n"/>
      <c r="Y457" s="81" t="n"/>
      <c r="Z457" s="81" t="n"/>
      <c r="AA457" s="81" t="n"/>
      <c r="AB457" s="81" t="n"/>
      <c r="AC457" s="81" t="n"/>
      <c r="AD457" s="81" t="n"/>
      <c r="AE457" s="81" t="n"/>
      <c r="AF457" s="81" t="n"/>
      <c r="AG457" s="81" t="n"/>
      <c r="AH457" s="113" t="n"/>
      <c r="AI457" s="81" t="n"/>
      <c r="AJ457" s="81" t="n"/>
      <c r="AK457" s="113" t="n"/>
      <c r="AL457" s="81" t="n"/>
      <c r="AM457" s="81" t="n"/>
      <c r="AN457" s="81" t="n"/>
      <c r="AO457" s="113" t="n"/>
      <c r="AP457" s="113" t="n"/>
      <c r="AQ457" s="81" t="n"/>
      <c r="AR457" s="113" t="n"/>
      <c r="AS457" s="113" t="n"/>
      <c r="AT457" s="114" t="n"/>
      <c r="AU457" s="81" t="n"/>
      <c r="AV457" s="114" t="n"/>
      <c r="AW457" s="114" t="n"/>
      <c r="AX457" s="81" t="n"/>
      <c r="AY457" s="113" t="n"/>
      <c r="AZ457" s="115">
        <f>IF($B457="","",COUNTIF(References!$A$4:$A$503,$A457))</f>
        <v/>
      </c>
      <c r="BA457" s="115">
        <f>IF($B457="","",(LEN(A457)=0)+(LEN(B457)=0)+(LEN(D457)=0)+(LEN(G457)=0)+(LEN(H457)=0)+(LEN(I457)=0)+(LEN(J457)=0)+(LEN(L457)=0)+(LEN(M457)=0)+(LEN(O457)=0)+(LEN(R457)=0)+(LEN(X457)=0)+(LEN(AI457)=0)+(LEN(AJ457)=0)+(LEN(AQ457)=0)+(LEN(AR457)=0)+(LEN(AT457)=0)+(LEN(AU457)=0)+(LEN(AV457)=0)+(LEN(AX457)=0))</f>
        <v/>
      </c>
      <c r="BB457" s="115">
        <f>IF($B457="","",IF(AND(BA457=0,AZ457&gt;=1),"Complete","Incomplete"))</f>
        <v/>
      </c>
    </row>
    <row r="458" ht="15" customHeight="1" s="62">
      <c r="A458" s="81" t="n"/>
      <c r="B458" s="113" t="n"/>
      <c r="C458" s="81" t="n"/>
      <c r="D458" s="81" t="n"/>
      <c r="E458" s="81" t="n"/>
      <c r="F458" s="81" t="n"/>
      <c r="G458" s="81" t="n"/>
      <c r="H458" s="81" t="n"/>
      <c r="I458" s="81" t="n"/>
      <c r="J458" s="81" t="n"/>
      <c r="K458" s="81" t="n"/>
      <c r="L458" s="113" t="n"/>
      <c r="M458" s="81" t="n"/>
      <c r="N458" s="81" t="n"/>
      <c r="O458" s="81" t="n"/>
      <c r="P458" s="81" t="n"/>
      <c r="Q458" s="113" t="n"/>
      <c r="R458" s="113" t="n"/>
      <c r="S458" s="113" t="n"/>
      <c r="T458" s="81" t="n"/>
      <c r="U458" s="81" t="n"/>
      <c r="V458" s="113" t="n"/>
      <c r="W458" s="81" t="n"/>
      <c r="X458" s="81" t="n"/>
      <c r="Y458" s="81" t="n"/>
      <c r="Z458" s="81" t="n"/>
      <c r="AA458" s="81" t="n"/>
      <c r="AB458" s="81" t="n"/>
      <c r="AC458" s="81" t="n"/>
      <c r="AD458" s="81" t="n"/>
      <c r="AE458" s="81" t="n"/>
      <c r="AF458" s="81" t="n"/>
      <c r="AG458" s="81" t="n"/>
      <c r="AH458" s="113" t="n"/>
      <c r="AI458" s="81" t="n"/>
      <c r="AJ458" s="81" t="n"/>
      <c r="AK458" s="113" t="n"/>
      <c r="AL458" s="81" t="n"/>
      <c r="AM458" s="81" t="n"/>
      <c r="AN458" s="81" t="n"/>
      <c r="AO458" s="113" t="n"/>
      <c r="AP458" s="113" t="n"/>
      <c r="AQ458" s="81" t="n"/>
      <c r="AR458" s="113" t="n"/>
      <c r="AS458" s="113" t="n"/>
      <c r="AT458" s="114" t="n"/>
      <c r="AU458" s="81" t="n"/>
      <c r="AV458" s="114" t="n"/>
      <c r="AW458" s="114" t="n"/>
      <c r="AX458" s="81" t="n"/>
      <c r="AY458" s="113" t="n"/>
      <c r="AZ458" s="115">
        <f>IF($B458="","",COUNTIF(References!$A$4:$A$503,$A458))</f>
        <v/>
      </c>
      <c r="BA458" s="115">
        <f>IF($B458="","",(LEN(A458)=0)+(LEN(B458)=0)+(LEN(D458)=0)+(LEN(G458)=0)+(LEN(H458)=0)+(LEN(I458)=0)+(LEN(J458)=0)+(LEN(L458)=0)+(LEN(M458)=0)+(LEN(O458)=0)+(LEN(R458)=0)+(LEN(X458)=0)+(LEN(AI458)=0)+(LEN(AJ458)=0)+(LEN(AQ458)=0)+(LEN(AR458)=0)+(LEN(AT458)=0)+(LEN(AU458)=0)+(LEN(AV458)=0)+(LEN(AX458)=0))</f>
        <v/>
      </c>
      <c r="BB458" s="115">
        <f>IF($B458="","",IF(AND(BA458=0,AZ458&gt;=1),"Complete","Incomplete"))</f>
        <v/>
      </c>
    </row>
    <row r="459" ht="15" customHeight="1" s="62">
      <c r="A459" s="81" t="n"/>
      <c r="B459" s="113" t="n"/>
      <c r="C459" s="81" t="n"/>
      <c r="D459" s="81" t="n"/>
      <c r="E459" s="81" t="n"/>
      <c r="F459" s="81" t="n"/>
      <c r="G459" s="81" t="n"/>
      <c r="H459" s="81" t="n"/>
      <c r="I459" s="81" t="n"/>
      <c r="J459" s="81" t="n"/>
      <c r="K459" s="81" t="n"/>
      <c r="L459" s="113" t="n"/>
      <c r="M459" s="81" t="n"/>
      <c r="N459" s="81" t="n"/>
      <c r="O459" s="81" t="n"/>
      <c r="P459" s="81" t="n"/>
      <c r="Q459" s="113" t="n"/>
      <c r="R459" s="113" t="n"/>
      <c r="S459" s="113" t="n"/>
      <c r="T459" s="81" t="n"/>
      <c r="U459" s="81" t="n"/>
      <c r="V459" s="113" t="n"/>
      <c r="W459" s="81" t="n"/>
      <c r="X459" s="81" t="n"/>
      <c r="Y459" s="81" t="n"/>
      <c r="Z459" s="81" t="n"/>
      <c r="AA459" s="81" t="n"/>
      <c r="AB459" s="81" t="n"/>
      <c r="AC459" s="81" t="n"/>
      <c r="AD459" s="81" t="n"/>
      <c r="AE459" s="81" t="n"/>
      <c r="AF459" s="81" t="n"/>
      <c r="AG459" s="81" t="n"/>
      <c r="AH459" s="113" t="n"/>
      <c r="AI459" s="81" t="n"/>
      <c r="AJ459" s="81" t="n"/>
      <c r="AK459" s="113" t="n"/>
      <c r="AL459" s="81" t="n"/>
      <c r="AM459" s="81" t="n"/>
      <c r="AN459" s="81" t="n"/>
      <c r="AO459" s="113" t="n"/>
      <c r="AP459" s="113" t="n"/>
      <c r="AQ459" s="81" t="n"/>
      <c r="AR459" s="113" t="n"/>
      <c r="AS459" s="113" t="n"/>
      <c r="AT459" s="114" t="n"/>
      <c r="AU459" s="81" t="n"/>
      <c r="AV459" s="114" t="n"/>
      <c r="AW459" s="114" t="n"/>
      <c r="AX459" s="81" t="n"/>
      <c r="AY459" s="113" t="n"/>
      <c r="AZ459" s="115">
        <f>IF($B459="","",COUNTIF(References!$A$4:$A$503,$A459))</f>
        <v/>
      </c>
      <c r="BA459" s="115">
        <f>IF($B459="","",(LEN(A459)=0)+(LEN(B459)=0)+(LEN(D459)=0)+(LEN(G459)=0)+(LEN(H459)=0)+(LEN(I459)=0)+(LEN(J459)=0)+(LEN(L459)=0)+(LEN(M459)=0)+(LEN(O459)=0)+(LEN(R459)=0)+(LEN(X459)=0)+(LEN(AI459)=0)+(LEN(AJ459)=0)+(LEN(AQ459)=0)+(LEN(AR459)=0)+(LEN(AT459)=0)+(LEN(AU459)=0)+(LEN(AV459)=0)+(LEN(AX459)=0))</f>
        <v/>
      </c>
      <c r="BB459" s="115">
        <f>IF($B459="","",IF(AND(BA459=0,AZ459&gt;=1),"Complete","Incomplete"))</f>
        <v/>
      </c>
    </row>
    <row r="460" ht="15" customHeight="1" s="62">
      <c r="A460" s="81" t="n"/>
      <c r="B460" s="113" t="n"/>
      <c r="C460" s="81" t="n"/>
      <c r="D460" s="81" t="n"/>
      <c r="E460" s="81" t="n"/>
      <c r="F460" s="81" t="n"/>
      <c r="G460" s="81" t="n"/>
      <c r="H460" s="81" t="n"/>
      <c r="I460" s="81" t="n"/>
      <c r="J460" s="81" t="n"/>
      <c r="K460" s="81" t="n"/>
      <c r="L460" s="113" t="n"/>
      <c r="M460" s="81" t="n"/>
      <c r="N460" s="81" t="n"/>
      <c r="O460" s="81" t="n"/>
      <c r="P460" s="81" t="n"/>
      <c r="Q460" s="113" t="n"/>
      <c r="R460" s="113" t="n"/>
      <c r="S460" s="113" t="n"/>
      <c r="T460" s="81" t="n"/>
      <c r="U460" s="81" t="n"/>
      <c r="V460" s="113" t="n"/>
      <c r="W460" s="81" t="n"/>
      <c r="X460" s="81" t="n"/>
      <c r="Y460" s="81" t="n"/>
      <c r="Z460" s="81" t="n"/>
      <c r="AA460" s="81" t="n"/>
      <c r="AB460" s="81" t="n"/>
      <c r="AC460" s="81" t="n"/>
      <c r="AD460" s="81" t="n"/>
      <c r="AE460" s="81" t="n"/>
      <c r="AF460" s="81" t="n"/>
      <c r="AG460" s="81" t="n"/>
      <c r="AH460" s="113" t="n"/>
      <c r="AI460" s="81" t="n"/>
      <c r="AJ460" s="81" t="n"/>
      <c r="AK460" s="113" t="n"/>
      <c r="AL460" s="81" t="n"/>
      <c r="AM460" s="81" t="n"/>
      <c r="AN460" s="81" t="n"/>
      <c r="AO460" s="113" t="n"/>
      <c r="AP460" s="113" t="n"/>
      <c r="AQ460" s="81" t="n"/>
      <c r="AR460" s="113" t="n"/>
      <c r="AS460" s="113" t="n"/>
      <c r="AT460" s="114" t="n"/>
      <c r="AU460" s="81" t="n"/>
      <c r="AV460" s="114" t="n"/>
      <c r="AW460" s="114" t="n"/>
      <c r="AX460" s="81" t="n"/>
      <c r="AY460" s="113" t="n"/>
      <c r="AZ460" s="115">
        <f>IF($B460="","",COUNTIF(References!$A$4:$A$503,$A460))</f>
        <v/>
      </c>
      <c r="BA460" s="115">
        <f>IF($B460="","",(LEN(A460)=0)+(LEN(B460)=0)+(LEN(D460)=0)+(LEN(G460)=0)+(LEN(H460)=0)+(LEN(I460)=0)+(LEN(J460)=0)+(LEN(L460)=0)+(LEN(M460)=0)+(LEN(O460)=0)+(LEN(R460)=0)+(LEN(X460)=0)+(LEN(AI460)=0)+(LEN(AJ460)=0)+(LEN(AQ460)=0)+(LEN(AR460)=0)+(LEN(AT460)=0)+(LEN(AU460)=0)+(LEN(AV460)=0)+(LEN(AX460)=0))</f>
        <v/>
      </c>
      <c r="BB460" s="115">
        <f>IF($B460="","",IF(AND(BA460=0,AZ460&gt;=1),"Complete","Incomplete"))</f>
        <v/>
      </c>
    </row>
    <row r="461" ht="15" customHeight="1" s="62">
      <c r="A461" s="81" t="n"/>
      <c r="B461" s="113" t="n"/>
      <c r="C461" s="81" t="n"/>
      <c r="D461" s="81" t="n"/>
      <c r="E461" s="81" t="n"/>
      <c r="F461" s="81" t="n"/>
      <c r="G461" s="81" t="n"/>
      <c r="H461" s="81" t="n"/>
      <c r="I461" s="81" t="n"/>
      <c r="J461" s="81" t="n"/>
      <c r="K461" s="81" t="n"/>
      <c r="L461" s="113" t="n"/>
      <c r="M461" s="81" t="n"/>
      <c r="N461" s="81" t="n"/>
      <c r="O461" s="81" t="n"/>
      <c r="P461" s="81" t="n"/>
      <c r="Q461" s="113" t="n"/>
      <c r="R461" s="113" t="n"/>
      <c r="S461" s="113" t="n"/>
      <c r="T461" s="81" t="n"/>
      <c r="U461" s="81" t="n"/>
      <c r="V461" s="113" t="n"/>
      <c r="W461" s="81" t="n"/>
      <c r="X461" s="81" t="n"/>
      <c r="Y461" s="81" t="n"/>
      <c r="Z461" s="81" t="n"/>
      <c r="AA461" s="81" t="n"/>
      <c r="AB461" s="81" t="n"/>
      <c r="AC461" s="81" t="n"/>
      <c r="AD461" s="81" t="n"/>
      <c r="AE461" s="81" t="n"/>
      <c r="AF461" s="81" t="n"/>
      <c r="AG461" s="81" t="n"/>
      <c r="AH461" s="113" t="n"/>
      <c r="AI461" s="81" t="n"/>
      <c r="AJ461" s="81" t="n"/>
      <c r="AK461" s="113" t="n"/>
      <c r="AL461" s="81" t="n"/>
      <c r="AM461" s="81" t="n"/>
      <c r="AN461" s="81" t="n"/>
      <c r="AO461" s="113" t="n"/>
      <c r="AP461" s="113" t="n"/>
      <c r="AQ461" s="81" t="n"/>
      <c r="AR461" s="113" t="n"/>
      <c r="AS461" s="113" t="n"/>
      <c r="AT461" s="114" t="n"/>
      <c r="AU461" s="81" t="n"/>
      <c r="AV461" s="114" t="n"/>
      <c r="AW461" s="114" t="n"/>
      <c r="AX461" s="81" t="n"/>
      <c r="AY461" s="113" t="n"/>
      <c r="AZ461" s="115">
        <f>IF($B461="","",COUNTIF(References!$A$4:$A$503,$A461))</f>
        <v/>
      </c>
      <c r="BA461" s="115">
        <f>IF($B461="","",(LEN(A461)=0)+(LEN(B461)=0)+(LEN(D461)=0)+(LEN(G461)=0)+(LEN(H461)=0)+(LEN(I461)=0)+(LEN(J461)=0)+(LEN(L461)=0)+(LEN(M461)=0)+(LEN(O461)=0)+(LEN(R461)=0)+(LEN(X461)=0)+(LEN(AI461)=0)+(LEN(AJ461)=0)+(LEN(AQ461)=0)+(LEN(AR461)=0)+(LEN(AT461)=0)+(LEN(AU461)=0)+(LEN(AV461)=0)+(LEN(AX461)=0))</f>
        <v/>
      </c>
      <c r="BB461" s="115">
        <f>IF($B461="","",IF(AND(BA461=0,AZ461&gt;=1),"Complete","Incomplete"))</f>
        <v/>
      </c>
    </row>
    <row r="462" ht="15" customHeight="1" s="62">
      <c r="A462" s="81" t="n"/>
      <c r="B462" s="113" t="n"/>
      <c r="C462" s="81" t="n"/>
      <c r="D462" s="81" t="n"/>
      <c r="E462" s="81" t="n"/>
      <c r="F462" s="81" t="n"/>
      <c r="G462" s="81" t="n"/>
      <c r="H462" s="81" t="n"/>
      <c r="I462" s="81" t="n"/>
      <c r="J462" s="81" t="n"/>
      <c r="K462" s="81" t="n"/>
      <c r="L462" s="113" t="n"/>
      <c r="M462" s="81" t="n"/>
      <c r="N462" s="81" t="n"/>
      <c r="O462" s="81" t="n"/>
      <c r="P462" s="81" t="n"/>
      <c r="Q462" s="113" t="n"/>
      <c r="R462" s="113" t="n"/>
      <c r="S462" s="113" t="n"/>
      <c r="T462" s="81" t="n"/>
      <c r="U462" s="81" t="n"/>
      <c r="V462" s="113" t="n"/>
      <c r="W462" s="81" t="n"/>
      <c r="X462" s="81" t="n"/>
      <c r="Y462" s="81" t="n"/>
      <c r="Z462" s="81" t="n"/>
      <c r="AA462" s="81" t="n"/>
      <c r="AB462" s="81" t="n"/>
      <c r="AC462" s="81" t="n"/>
      <c r="AD462" s="81" t="n"/>
      <c r="AE462" s="81" t="n"/>
      <c r="AF462" s="81" t="n"/>
      <c r="AG462" s="81" t="n"/>
      <c r="AH462" s="113" t="n"/>
      <c r="AI462" s="81" t="n"/>
      <c r="AJ462" s="81" t="n"/>
      <c r="AK462" s="113" t="n"/>
      <c r="AL462" s="81" t="n"/>
      <c r="AM462" s="81" t="n"/>
      <c r="AN462" s="81" t="n"/>
      <c r="AO462" s="113" t="n"/>
      <c r="AP462" s="113" t="n"/>
      <c r="AQ462" s="81" t="n"/>
      <c r="AR462" s="113" t="n"/>
      <c r="AS462" s="113" t="n"/>
      <c r="AT462" s="114" t="n"/>
      <c r="AU462" s="81" t="n"/>
      <c r="AV462" s="114" t="n"/>
      <c r="AW462" s="114" t="n"/>
      <c r="AX462" s="81" t="n"/>
      <c r="AY462" s="113" t="n"/>
      <c r="AZ462" s="115">
        <f>IF($B462="","",COUNTIF(References!$A$4:$A$503,$A462))</f>
        <v/>
      </c>
      <c r="BA462" s="115">
        <f>IF($B462="","",(LEN(A462)=0)+(LEN(B462)=0)+(LEN(D462)=0)+(LEN(G462)=0)+(LEN(H462)=0)+(LEN(I462)=0)+(LEN(J462)=0)+(LEN(L462)=0)+(LEN(M462)=0)+(LEN(O462)=0)+(LEN(R462)=0)+(LEN(X462)=0)+(LEN(AI462)=0)+(LEN(AJ462)=0)+(LEN(AQ462)=0)+(LEN(AR462)=0)+(LEN(AT462)=0)+(LEN(AU462)=0)+(LEN(AV462)=0)+(LEN(AX462)=0))</f>
        <v/>
      </c>
      <c r="BB462" s="115">
        <f>IF($B462="","",IF(AND(BA462=0,AZ462&gt;=1),"Complete","Incomplete"))</f>
        <v/>
      </c>
    </row>
    <row r="463" ht="15" customHeight="1" s="62">
      <c r="A463" s="81" t="n"/>
      <c r="B463" s="113" t="n"/>
      <c r="C463" s="81" t="n"/>
      <c r="D463" s="81" t="n"/>
      <c r="E463" s="81" t="n"/>
      <c r="F463" s="81" t="n"/>
      <c r="G463" s="81" t="n"/>
      <c r="H463" s="81" t="n"/>
      <c r="I463" s="81" t="n"/>
      <c r="J463" s="81" t="n"/>
      <c r="K463" s="81" t="n"/>
      <c r="L463" s="113" t="n"/>
      <c r="M463" s="81" t="n"/>
      <c r="N463" s="81" t="n"/>
      <c r="O463" s="81" t="n"/>
      <c r="P463" s="81" t="n"/>
      <c r="Q463" s="113" t="n"/>
      <c r="R463" s="113" t="n"/>
      <c r="S463" s="113" t="n"/>
      <c r="T463" s="81" t="n"/>
      <c r="U463" s="81" t="n"/>
      <c r="V463" s="113" t="n"/>
      <c r="W463" s="81" t="n"/>
      <c r="X463" s="81" t="n"/>
      <c r="Y463" s="81" t="n"/>
      <c r="Z463" s="81" t="n"/>
      <c r="AA463" s="81" t="n"/>
      <c r="AB463" s="81" t="n"/>
      <c r="AC463" s="81" t="n"/>
      <c r="AD463" s="81" t="n"/>
      <c r="AE463" s="81" t="n"/>
      <c r="AF463" s="81" t="n"/>
      <c r="AG463" s="81" t="n"/>
      <c r="AH463" s="113" t="n"/>
      <c r="AI463" s="81" t="n"/>
      <c r="AJ463" s="81" t="n"/>
      <c r="AK463" s="113" t="n"/>
      <c r="AL463" s="81" t="n"/>
      <c r="AM463" s="81" t="n"/>
      <c r="AN463" s="81" t="n"/>
      <c r="AO463" s="113" t="n"/>
      <c r="AP463" s="113" t="n"/>
      <c r="AQ463" s="81" t="n"/>
      <c r="AR463" s="113" t="n"/>
      <c r="AS463" s="113" t="n"/>
      <c r="AT463" s="114" t="n"/>
      <c r="AU463" s="81" t="n"/>
      <c r="AV463" s="114" t="n"/>
      <c r="AW463" s="114" t="n"/>
      <c r="AX463" s="81" t="n"/>
      <c r="AY463" s="113" t="n"/>
      <c r="AZ463" s="115">
        <f>IF($B463="","",COUNTIF(References!$A$4:$A$503,$A463))</f>
        <v/>
      </c>
      <c r="BA463" s="115">
        <f>IF($B463="","",(LEN(A463)=0)+(LEN(B463)=0)+(LEN(D463)=0)+(LEN(G463)=0)+(LEN(H463)=0)+(LEN(I463)=0)+(LEN(J463)=0)+(LEN(L463)=0)+(LEN(M463)=0)+(LEN(O463)=0)+(LEN(R463)=0)+(LEN(X463)=0)+(LEN(AI463)=0)+(LEN(AJ463)=0)+(LEN(AQ463)=0)+(LEN(AR463)=0)+(LEN(AT463)=0)+(LEN(AU463)=0)+(LEN(AV463)=0)+(LEN(AX463)=0))</f>
        <v/>
      </c>
      <c r="BB463" s="115">
        <f>IF($B463="","",IF(AND(BA463=0,AZ463&gt;=1),"Complete","Incomplete"))</f>
        <v/>
      </c>
    </row>
    <row r="464" ht="15" customHeight="1" s="62">
      <c r="A464" s="81" t="n"/>
      <c r="B464" s="113" t="n"/>
      <c r="C464" s="81" t="n"/>
      <c r="D464" s="81" t="n"/>
      <c r="E464" s="81" t="n"/>
      <c r="F464" s="81" t="n"/>
      <c r="G464" s="81" t="n"/>
      <c r="H464" s="81" t="n"/>
      <c r="I464" s="81" t="n"/>
      <c r="J464" s="81" t="n"/>
      <c r="K464" s="81" t="n"/>
      <c r="L464" s="113" t="n"/>
      <c r="M464" s="81" t="n"/>
      <c r="N464" s="81" t="n"/>
      <c r="O464" s="81" t="n"/>
      <c r="P464" s="81" t="n"/>
      <c r="Q464" s="113" t="n"/>
      <c r="R464" s="113" t="n"/>
      <c r="S464" s="113" t="n"/>
      <c r="T464" s="81" t="n"/>
      <c r="U464" s="81" t="n"/>
      <c r="V464" s="113" t="n"/>
      <c r="W464" s="81" t="n"/>
      <c r="X464" s="81" t="n"/>
      <c r="Y464" s="81" t="n"/>
      <c r="Z464" s="81" t="n"/>
      <c r="AA464" s="81" t="n"/>
      <c r="AB464" s="81" t="n"/>
      <c r="AC464" s="81" t="n"/>
      <c r="AD464" s="81" t="n"/>
      <c r="AE464" s="81" t="n"/>
      <c r="AF464" s="81" t="n"/>
      <c r="AG464" s="81" t="n"/>
      <c r="AH464" s="113" t="n"/>
      <c r="AI464" s="81" t="n"/>
      <c r="AJ464" s="81" t="n"/>
      <c r="AK464" s="113" t="n"/>
      <c r="AL464" s="81" t="n"/>
      <c r="AM464" s="81" t="n"/>
      <c r="AN464" s="81" t="n"/>
      <c r="AO464" s="113" t="n"/>
      <c r="AP464" s="113" t="n"/>
      <c r="AQ464" s="81" t="n"/>
      <c r="AR464" s="113" t="n"/>
      <c r="AS464" s="113" t="n"/>
      <c r="AT464" s="114" t="n"/>
      <c r="AU464" s="81" t="n"/>
      <c r="AV464" s="114" t="n"/>
      <c r="AW464" s="114" t="n"/>
      <c r="AX464" s="81" t="n"/>
      <c r="AY464" s="113" t="n"/>
      <c r="AZ464" s="115">
        <f>IF($B464="","",COUNTIF(References!$A$4:$A$503,$A464))</f>
        <v/>
      </c>
      <c r="BA464" s="115">
        <f>IF($B464="","",(LEN(A464)=0)+(LEN(B464)=0)+(LEN(D464)=0)+(LEN(G464)=0)+(LEN(H464)=0)+(LEN(I464)=0)+(LEN(J464)=0)+(LEN(L464)=0)+(LEN(M464)=0)+(LEN(O464)=0)+(LEN(R464)=0)+(LEN(X464)=0)+(LEN(AI464)=0)+(LEN(AJ464)=0)+(LEN(AQ464)=0)+(LEN(AR464)=0)+(LEN(AT464)=0)+(LEN(AU464)=0)+(LEN(AV464)=0)+(LEN(AX464)=0))</f>
        <v/>
      </c>
      <c r="BB464" s="115">
        <f>IF($B464="","",IF(AND(BA464=0,AZ464&gt;=1),"Complete","Incomplete"))</f>
        <v/>
      </c>
    </row>
    <row r="465" ht="15" customHeight="1" s="62">
      <c r="A465" s="81" t="n"/>
      <c r="B465" s="113" t="n"/>
      <c r="C465" s="81" t="n"/>
      <c r="D465" s="81" t="n"/>
      <c r="E465" s="81" t="n"/>
      <c r="F465" s="81" t="n"/>
      <c r="G465" s="81" t="n"/>
      <c r="H465" s="81" t="n"/>
      <c r="I465" s="81" t="n"/>
      <c r="J465" s="81" t="n"/>
      <c r="K465" s="81" t="n"/>
      <c r="L465" s="113" t="n"/>
      <c r="M465" s="81" t="n"/>
      <c r="N465" s="81" t="n"/>
      <c r="O465" s="81" t="n"/>
      <c r="P465" s="81" t="n"/>
      <c r="Q465" s="113" t="n"/>
      <c r="R465" s="113" t="n"/>
      <c r="S465" s="113" t="n"/>
      <c r="T465" s="81" t="n"/>
      <c r="U465" s="81" t="n"/>
      <c r="V465" s="113" t="n"/>
      <c r="W465" s="81" t="n"/>
      <c r="X465" s="81" t="n"/>
      <c r="Y465" s="81" t="n"/>
      <c r="Z465" s="81" t="n"/>
      <c r="AA465" s="81" t="n"/>
      <c r="AB465" s="81" t="n"/>
      <c r="AC465" s="81" t="n"/>
      <c r="AD465" s="81" t="n"/>
      <c r="AE465" s="81" t="n"/>
      <c r="AF465" s="81" t="n"/>
      <c r="AG465" s="81" t="n"/>
      <c r="AH465" s="113" t="n"/>
      <c r="AI465" s="81" t="n"/>
      <c r="AJ465" s="81" t="n"/>
      <c r="AK465" s="113" t="n"/>
      <c r="AL465" s="81" t="n"/>
      <c r="AM465" s="81" t="n"/>
      <c r="AN465" s="81" t="n"/>
      <c r="AO465" s="113" t="n"/>
      <c r="AP465" s="113" t="n"/>
      <c r="AQ465" s="81" t="n"/>
      <c r="AR465" s="113" t="n"/>
      <c r="AS465" s="113" t="n"/>
      <c r="AT465" s="114" t="n"/>
      <c r="AU465" s="81" t="n"/>
      <c r="AV465" s="114" t="n"/>
      <c r="AW465" s="114" t="n"/>
      <c r="AX465" s="81" t="n"/>
      <c r="AY465" s="113" t="n"/>
      <c r="AZ465" s="115">
        <f>IF($B465="","",COUNTIF(References!$A$4:$A$503,$A465))</f>
        <v/>
      </c>
      <c r="BA465" s="115">
        <f>IF($B465="","",(LEN(A465)=0)+(LEN(B465)=0)+(LEN(D465)=0)+(LEN(G465)=0)+(LEN(H465)=0)+(LEN(I465)=0)+(LEN(J465)=0)+(LEN(L465)=0)+(LEN(M465)=0)+(LEN(O465)=0)+(LEN(R465)=0)+(LEN(X465)=0)+(LEN(AI465)=0)+(LEN(AJ465)=0)+(LEN(AQ465)=0)+(LEN(AR465)=0)+(LEN(AT465)=0)+(LEN(AU465)=0)+(LEN(AV465)=0)+(LEN(AX465)=0))</f>
        <v/>
      </c>
      <c r="BB465" s="115">
        <f>IF($B465="","",IF(AND(BA465=0,AZ465&gt;=1),"Complete","Incomplete"))</f>
        <v/>
      </c>
    </row>
    <row r="466" ht="15" customHeight="1" s="62">
      <c r="A466" s="81" t="n"/>
      <c r="B466" s="113" t="n"/>
      <c r="C466" s="81" t="n"/>
      <c r="D466" s="81" t="n"/>
      <c r="E466" s="81" t="n"/>
      <c r="F466" s="81" t="n"/>
      <c r="G466" s="81" t="n"/>
      <c r="H466" s="81" t="n"/>
      <c r="I466" s="81" t="n"/>
      <c r="J466" s="81" t="n"/>
      <c r="K466" s="81" t="n"/>
      <c r="L466" s="113" t="n"/>
      <c r="M466" s="81" t="n"/>
      <c r="N466" s="81" t="n"/>
      <c r="O466" s="81" t="n"/>
      <c r="P466" s="81" t="n"/>
      <c r="Q466" s="113" t="n"/>
      <c r="R466" s="113" t="n"/>
      <c r="S466" s="113" t="n"/>
      <c r="T466" s="81" t="n"/>
      <c r="U466" s="81" t="n"/>
      <c r="V466" s="113" t="n"/>
      <c r="W466" s="81" t="n"/>
      <c r="X466" s="81" t="n"/>
      <c r="Y466" s="81" t="n"/>
      <c r="Z466" s="81" t="n"/>
      <c r="AA466" s="81" t="n"/>
      <c r="AB466" s="81" t="n"/>
      <c r="AC466" s="81" t="n"/>
      <c r="AD466" s="81" t="n"/>
      <c r="AE466" s="81" t="n"/>
      <c r="AF466" s="81" t="n"/>
      <c r="AG466" s="81" t="n"/>
      <c r="AH466" s="113" t="n"/>
      <c r="AI466" s="81" t="n"/>
      <c r="AJ466" s="81" t="n"/>
      <c r="AK466" s="113" t="n"/>
      <c r="AL466" s="81" t="n"/>
      <c r="AM466" s="81" t="n"/>
      <c r="AN466" s="81" t="n"/>
      <c r="AO466" s="113" t="n"/>
      <c r="AP466" s="113" t="n"/>
      <c r="AQ466" s="81" t="n"/>
      <c r="AR466" s="113" t="n"/>
      <c r="AS466" s="113" t="n"/>
      <c r="AT466" s="114" t="n"/>
      <c r="AU466" s="81" t="n"/>
      <c r="AV466" s="114" t="n"/>
      <c r="AW466" s="114" t="n"/>
      <c r="AX466" s="81" t="n"/>
      <c r="AY466" s="113" t="n"/>
      <c r="AZ466" s="115">
        <f>IF($B466="","",COUNTIF(References!$A$4:$A$503,$A466))</f>
        <v/>
      </c>
      <c r="BA466" s="115">
        <f>IF($B466="","",(LEN(A466)=0)+(LEN(B466)=0)+(LEN(D466)=0)+(LEN(G466)=0)+(LEN(H466)=0)+(LEN(I466)=0)+(LEN(J466)=0)+(LEN(L466)=0)+(LEN(M466)=0)+(LEN(O466)=0)+(LEN(R466)=0)+(LEN(X466)=0)+(LEN(AI466)=0)+(LEN(AJ466)=0)+(LEN(AQ466)=0)+(LEN(AR466)=0)+(LEN(AT466)=0)+(LEN(AU466)=0)+(LEN(AV466)=0)+(LEN(AX466)=0))</f>
        <v/>
      </c>
      <c r="BB466" s="115">
        <f>IF($B466="","",IF(AND(BA466=0,AZ466&gt;=1),"Complete","Incomplete"))</f>
        <v/>
      </c>
    </row>
    <row r="467" ht="15" customHeight="1" s="62">
      <c r="A467" s="81" t="n"/>
      <c r="B467" s="113" t="n"/>
      <c r="C467" s="81" t="n"/>
      <c r="D467" s="81" t="n"/>
      <c r="E467" s="81" t="n"/>
      <c r="F467" s="81" t="n"/>
      <c r="G467" s="81" t="n"/>
      <c r="H467" s="81" t="n"/>
      <c r="I467" s="81" t="n"/>
      <c r="J467" s="81" t="n"/>
      <c r="K467" s="81" t="n"/>
      <c r="L467" s="113" t="n"/>
      <c r="M467" s="81" t="n"/>
      <c r="N467" s="81" t="n"/>
      <c r="O467" s="81" t="n"/>
      <c r="P467" s="81" t="n"/>
      <c r="Q467" s="113" t="n"/>
      <c r="R467" s="113" t="n"/>
      <c r="S467" s="113" t="n"/>
      <c r="T467" s="81" t="n"/>
      <c r="U467" s="81" t="n"/>
      <c r="V467" s="113" t="n"/>
      <c r="W467" s="81" t="n"/>
      <c r="X467" s="81" t="n"/>
      <c r="Y467" s="81" t="n"/>
      <c r="Z467" s="81" t="n"/>
      <c r="AA467" s="81" t="n"/>
      <c r="AB467" s="81" t="n"/>
      <c r="AC467" s="81" t="n"/>
      <c r="AD467" s="81" t="n"/>
      <c r="AE467" s="81" t="n"/>
      <c r="AF467" s="81" t="n"/>
      <c r="AG467" s="81" t="n"/>
      <c r="AH467" s="113" t="n"/>
      <c r="AI467" s="81" t="n"/>
      <c r="AJ467" s="81" t="n"/>
      <c r="AK467" s="113" t="n"/>
      <c r="AL467" s="81" t="n"/>
      <c r="AM467" s="81" t="n"/>
      <c r="AN467" s="81" t="n"/>
      <c r="AO467" s="113" t="n"/>
      <c r="AP467" s="113" t="n"/>
      <c r="AQ467" s="81" t="n"/>
      <c r="AR467" s="113" t="n"/>
      <c r="AS467" s="113" t="n"/>
      <c r="AT467" s="114" t="n"/>
      <c r="AU467" s="81" t="n"/>
      <c r="AV467" s="114" t="n"/>
      <c r="AW467" s="114" t="n"/>
      <c r="AX467" s="81" t="n"/>
      <c r="AY467" s="113" t="n"/>
      <c r="AZ467" s="115">
        <f>IF($B467="","",COUNTIF(References!$A$4:$A$503,$A467))</f>
        <v/>
      </c>
      <c r="BA467" s="115">
        <f>IF($B467="","",(LEN(A467)=0)+(LEN(B467)=0)+(LEN(D467)=0)+(LEN(G467)=0)+(LEN(H467)=0)+(LEN(I467)=0)+(LEN(J467)=0)+(LEN(L467)=0)+(LEN(M467)=0)+(LEN(O467)=0)+(LEN(R467)=0)+(LEN(X467)=0)+(LEN(AI467)=0)+(LEN(AJ467)=0)+(LEN(AQ467)=0)+(LEN(AR467)=0)+(LEN(AT467)=0)+(LEN(AU467)=0)+(LEN(AV467)=0)+(LEN(AX467)=0))</f>
        <v/>
      </c>
      <c r="BB467" s="115">
        <f>IF($B467="","",IF(AND(BA467=0,AZ467&gt;=1),"Complete","Incomplete"))</f>
        <v/>
      </c>
    </row>
    <row r="468" ht="15" customHeight="1" s="62">
      <c r="A468" s="81" t="n"/>
      <c r="B468" s="113" t="n"/>
      <c r="C468" s="81" t="n"/>
      <c r="D468" s="81" t="n"/>
      <c r="E468" s="81" t="n"/>
      <c r="F468" s="81" t="n"/>
      <c r="G468" s="81" t="n"/>
      <c r="H468" s="81" t="n"/>
      <c r="I468" s="81" t="n"/>
      <c r="J468" s="81" t="n"/>
      <c r="K468" s="81" t="n"/>
      <c r="L468" s="113" t="n"/>
      <c r="M468" s="81" t="n"/>
      <c r="N468" s="81" t="n"/>
      <c r="O468" s="81" t="n"/>
      <c r="P468" s="81" t="n"/>
      <c r="Q468" s="113" t="n"/>
      <c r="R468" s="113" t="n"/>
      <c r="S468" s="113" t="n"/>
      <c r="T468" s="81" t="n"/>
      <c r="U468" s="81" t="n"/>
      <c r="V468" s="113" t="n"/>
      <c r="W468" s="81" t="n"/>
      <c r="X468" s="81" t="n"/>
      <c r="Y468" s="81" t="n"/>
      <c r="Z468" s="81" t="n"/>
      <c r="AA468" s="81" t="n"/>
      <c r="AB468" s="81" t="n"/>
      <c r="AC468" s="81" t="n"/>
      <c r="AD468" s="81" t="n"/>
      <c r="AE468" s="81" t="n"/>
      <c r="AF468" s="81" t="n"/>
      <c r="AG468" s="81" t="n"/>
      <c r="AH468" s="113" t="n"/>
      <c r="AI468" s="81" t="n"/>
      <c r="AJ468" s="81" t="n"/>
      <c r="AK468" s="113" t="n"/>
      <c r="AL468" s="81" t="n"/>
      <c r="AM468" s="81" t="n"/>
      <c r="AN468" s="81" t="n"/>
      <c r="AO468" s="113" t="n"/>
      <c r="AP468" s="113" t="n"/>
      <c r="AQ468" s="81" t="n"/>
      <c r="AR468" s="113" t="n"/>
      <c r="AS468" s="113" t="n"/>
      <c r="AT468" s="114" t="n"/>
      <c r="AU468" s="81" t="n"/>
      <c r="AV468" s="114" t="n"/>
      <c r="AW468" s="114" t="n"/>
      <c r="AX468" s="81" t="n"/>
      <c r="AY468" s="113" t="n"/>
      <c r="AZ468" s="115">
        <f>IF($B468="","",COUNTIF(References!$A$4:$A$503,$A468))</f>
        <v/>
      </c>
      <c r="BA468" s="115">
        <f>IF($B468="","",(LEN(A468)=0)+(LEN(B468)=0)+(LEN(D468)=0)+(LEN(G468)=0)+(LEN(H468)=0)+(LEN(I468)=0)+(LEN(J468)=0)+(LEN(L468)=0)+(LEN(M468)=0)+(LEN(O468)=0)+(LEN(R468)=0)+(LEN(X468)=0)+(LEN(AI468)=0)+(LEN(AJ468)=0)+(LEN(AQ468)=0)+(LEN(AR468)=0)+(LEN(AT468)=0)+(LEN(AU468)=0)+(LEN(AV468)=0)+(LEN(AX468)=0))</f>
        <v/>
      </c>
      <c r="BB468" s="115">
        <f>IF($B468="","",IF(AND(BA468=0,AZ468&gt;=1),"Complete","Incomplete"))</f>
        <v/>
      </c>
    </row>
    <row r="469" ht="15" customHeight="1" s="62">
      <c r="A469" s="81" t="n"/>
      <c r="B469" s="113" t="n"/>
      <c r="C469" s="81" t="n"/>
      <c r="D469" s="81" t="n"/>
      <c r="E469" s="81" t="n"/>
      <c r="F469" s="81" t="n"/>
      <c r="G469" s="81" t="n"/>
      <c r="H469" s="81" t="n"/>
      <c r="I469" s="81" t="n"/>
      <c r="J469" s="81" t="n"/>
      <c r="K469" s="81" t="n"/>
      <c r="L469" s="113" t="n"/>
      <c r="M469" s="81" t="n"/>
      <c r="N469" s="81" t="n"/>
      <c r="O469" s="81" t="n"/>
      <c r="P469" s="81" t="n"/>
      <c r="Q469" s="113" t="n"/>
      <c r="R469" s="113" t="n"/>
      <c r="S469" s="113" t="n"/>
      <c r="T469" s="81" t="n"/>
      <c r="U469" s="81" t="n"/>
      <c r="V469" s="113" t="n"/>
      <c r="W469" s="81" t="n"/>
      <c r="X469" s="81" t="n"/>
      <c r="Y469" s="81" t="n"/>
      <c r="Z469" s="81" t="n"/>
      <c r="AA469" s="81" t="n"/>
      <c r="AB469" s="81" t="n"/>
      <c r="AC469" s="81" t="n"/>
      <c r="AD469" s="81" t="n"/>
      <c r="AE469" s="81" t="n"/>
      <c r="AF469" s="81" t="n"/>
      <c r="AG469" s="81" t="n"/>
      <c r="AH469" s="113" t="n"/>
      <c r="AI469" s="81" t="n"/>
      <c r="AJ469" s="81" t="n"/>
      <c r="AK469" s="113" t="n"/>
      <c r="AL469" s="81" t="n"/>
      <c r="AM469" s="81" t="n"/>
      <c r="AN469" s="81" t="n"/>
      <c r="AO469" s="113" t="n"/>
      <c r="AP469" s="113" t="n"/>
      <c r="AQ469" s="81" t="n"/>
      <c r="AR469" s="113" t="n"/>
      <c r="AS469" s="113" t="n"/>
      <c r="AT469" s="114" t="n"/>
      <c r="AU469" s="81" t="n"/>
      <c r="AV469" s="114" t="n"/>
      <c r="AW469" s="114" t="n"/>
      <c r="AX469" s="81" t="n"/>
      <c r="AY469" s="113" t="n"/>
      <c r="AZ469" s="115">
        <f>IF($B469="","",COUNTIF(References!$A$4:$A$503,$A469))</f>
        <v/>
      </c>
      <c r="BA469" s="115">
        <f>IF($B469="","",(LEN(A469)=0)+(LEN(B469)=0)+(LEN(D469)=0)+(LEN(G469)=0)+(LEN(H469)=0)+(LEN(I469)=0)+(LEN(J469)=0)+(LEN(L469)=0)+(LEN(M469)=0)+(LEN(O469)=0)+(LEN(R469)=0)+(LEN(X469)=0)+(LEN(AI469)=0)+(LEN(AJ469)=0)+(LEN(AQ469)=0)+(LEN(AR469)=0)+(LEN(AT469)=0)+(LEN(AU469)=0)+(LEN(AV469)=0)+(LEN(AX469)=0))</f>
        <v/>
      </c>
      <c r="BB469" s="115">
        <f>IF($B469="","",IF(AND(BA469=0,AZ469&gt;=1),"Complete","Incomplete"))</f>
        <v/>
      </c>
    </row>
    <row r="470" ht="15" customHeight="1" s="62">
      <c r="A470" s="81" t="n"/>
      <c r="B470" s="113" t="n"/>
      <c r="C470" s="81" t="n"/>
      <c r="D470" s="81" t="n"/>
      <c r="E470" s="81" t="n"/>
      <c r="F470" s="81" t="n"/>
      <c r="G470" s="81" t="n"/>
      <c r="H470" s="81" t="n"/>
      <c r="I470" s="81" t="n"/>
      <c r="J470" s="81" t="n"/>
      <c r="K470" s="81" t="n"/>
      <c r="L470" s="113" t="n"/>
      <c r="M470" s="81" t="n"/>
      <c r="N470" s="81" t="n"/>
      <c r="O470" s="81" t="n"/>
      <c r="P470" s="81" t="n"/>
      <c r="Q470" s="113" t="n"/>
      <c r="R470" s="113" t="n"/>
      <c r="S470" s="113" t="n"/>
      <c r="T470" s="81" t="n"/>
      <c r="U470" s="81" t="n"/>
      <c r="V470" s="113" t="n"/>
      <c r="W470" s="81" t="n"/>
      <c r="X470" s="81" t="n"/>
      <c r="Y470" s="81" t="n"/>
      <c r="Z470" s="81" t="n"/>
      <c r="AA470" s="81" t="n"/>
      <c r="AB470" s="81" t="n"/>
      <c r="AC470" s="81" t="n"/>
      <c r="AD470" s="81" t="n"/>
      <c r="AE470" s="81" t="n"/>
      <c r="AF470" s="81" t="n"/>
      <c r="AG470" s="81" t="n"/>
      <c r="AH470" s="113" t="n"/>
      <c r="AI470" s="81" t="n"/>
      <c r="AJ470" s="81" t="n"/>
      <c r="AK470" s="113" t="n"/>
      <c r="AL470" s="81" t="n"/>
      <c r="AM470" s="81" t="n"/>
      <c r="AN470" s="81" t="n"/>
      <c r="AO470" s="113" t="n"/>
      <c r="AP470" s="113" t="n"/>
      <c r="AQ470" s="81" t="n"/>
      <c r="AR470" s="113" t="n"/>
      <c r="AS470" s="113" t="n"/>
      <c r="AT470" s="114" t="n"/>
      <c r="AU470" s="81" t="n"/>
      <c r="AV470" s="114" t="n"/>
      <c r="AW470" s="114" t="n"/>
      <c r="AX470" s="81" t="n"/>
      <c r="AY470" s="113" t="n"/>
      <c r="AZ470" s="115">
        <f>IF($B470="","",COUNTIF(References!$A$4:$A$503,$A470))</f>
        <v/>
      </c>
      <c r="BA470" s="115">
        <f>IF($B470="","",(LEN(A470)=0)+(LEN(B470)=0)+(LEN(D470)=0)+(LEN(G470)=0)+(LEN(H470)=0)+(LEN(I470)=0)+(LEN(J470)=0)+(LEN(L470)=0)+(LEN(M470)=0)+(LEN(O470)=0)+(LEN(R470)=0)+(LEN(X470)=0)+(LEN(AI470)=0)+(LEN(AJ470)=0)+(LEN(AQ470)=0)+(LEN(AR470)=0)+(LEN(AT470)=0)+(LEN(AU470)=0)+(LEN(AV470)=0)+(LEN(AX470)=0))</f>
        <v/>
      </c>
      <c r="BB470" s="115">
        <f>IF($B470="","",IF(AND(BA470=0,AZ470&gt;=1),"Complete","Incomplete"))</f>
        <v/>
      </c>
    </row>
    <row r="471" ht="15" customHeight="1" s="62">
      <c r="A471" s="81" t="n"/>
      <c r="B471" s="113" t="n"/>
      <c r="C471" s="81" t="n"/>
      <c r="D471" s="81" t="n"/>
      <c r="E471" s="81" t="n"/>
      <c r="F471" s="81" t="n"/>
      <c r="G471" s="81" t="n"/>
      <c r="H471" s="81" t="n"/>
      <c r="I471" s="81" t="n"/>
      <c r="J471" s="81" t="n"/>
      <c r="K471" s="81" t="n"/>
      <c r="L471" s="113" t="n"/>
      <c r="M471" s="81" t="n"/>
      <c r="N471" s="81" t="n"/>
      <c r="O471" s="81" t="n"/>
      <c r="P471" s="81" t="n"/>
      <c r="Q471" s="113" t="n"/>
      <c r="R471" s="113" t="n"/>
      <c r="S471" s="113" t="n"/>
      <c r="T471" s="81" t="n"/>
      <c r="U471" s="81" t="n"/>
      <c r="V471" s="113" t="n"/>
      <c r="W471" s="81" t="n"/>
      <c r="X471" s="81" t="n"/>
      <c r="Y471" s="81" t="n"/>
      <c r="Z471" s="81" t="n"/>
      <c r="AA471" s="81" t="n"/>
      <c r="AB471" s="81" t="n"/>
      <c r="AC471" s="81" t="n"/>
      <c r="AD471" s="81" t="n"/>
      <c r="AE471" s="81" t="n"/>
      <c r="AF471" s="81" t="n"/>
      <c r="AG471" s="81" t="n"/>
      <c r="AH471" s="113" t="n"/>
      <c r="AI471" s="81" t="n"/>
      <c r="AJ471" s="81" t="n"/>
      <c r="AK471" s="113" t="n"/>
      <c r="AL471" s="81" t="n"/>
      <c r="AM471" s="81" t="n"/>
      <c r="AN471" s="81" t="n"/>
      <c r="AO471" s="113" t="n"/>
      <c r="AP471" s="113" t="n"/>
      <c r="AQ471" s="81" t="n"/>
      <c r="AR471" s="113" t="n"/>
      <c r="AS471" s="113" t="n"/>
      <c r="AT471" s="114" t="n"/>
      <c r="AU471" s="81" t="n"/>
      <c r="AV471" s="114" t="n"/>
      <c r="AW471" s="114" t="n"/>
      <c r="AX471" s="81" t="n"/>
      <c r="AY471" s="113" t="n"/>
      <c r="AZ471" s="115">
        <f>IF($B471="","",COUNTIF(References!$A$4:$A$503,$A471))</f>
        <v/>
      </c>
      <c r="BA471" s="115">
        <f>IF($B471="","",(LEN(A471)=0)+(LEN(B471)=0)+(LEN(D471)=0)+(LEN(G471)=0)+(LEN(H471)=0)+(LEN(I471)=0)+(LEN(J471)=0)+(LEN(L471)=0)+(LEN(M471)=0)+(LEN(O471)=0)+(LEN(R471)=0)+(LEN(X471)=0)+(LEN(AI471)=0)+(LEN(AJ471)=0)+(LEN(AQ471)=0)+(LEN(AR471)=0)+(LEN(AT471)=0)+(LEN(AU471)=0)+(LEN(AV471)=0)+(LEN(AX471)=0))</f>
        <v/>
      </c>
      <c r="BB471" s="115">
        <f>IF($B471="","",IF(AND(BA471=0,AZ471&gt;=1),"Complete","Incomplete"))</f>
        <v/>
      </c>
    </row>
    <row r="472" ht="15" customHeight="1" s="62">
      <c r="A472" s="81" t="n"/>
      <c r="B472" s="113" t="n"/>
      <c r="C472" s="81" t="n"/>
      <c r="D472" s="81" t="n"/>
      <c r="E472" s="81" t="n"/>
      <c r="F472" s="81" t="n"/>
      <c r="G472" s="81" t="n"/>
      <c r="H472" s="81" t="n"/>
      <c r="I472" s="81" t="n"/>
      <c r="J472" s="81" t="n"/>
      <c r="K472" s="81" t="n"/>
      <c r="L472" s="113" t="n"/>
      <c r="M472" s="81" t="n"/>
      <c r="N472" s="81" t="n"/>
      <c r="O472" s="81" t="n"/>
      <c r="P472" s="81" t="n"/>
      <c r="Q472" s="113" t="n"/>
      <c r="R472" s="113" t="n"/>
      <c r="S472" s="113" t="n"/>
      <c r="T472" s="81" t="n"/>
      <c r="U472" s="81" t="n"/>
      <c r="V472" s="113" t="n"/>
      <c r="W472" s="81" t="n"/>
      <c r="X472" s="81" t="n"/>
      <c r="Y472" s="81" t="n"/>
      <c r="Z472" s="81" t="n"/>
      <c r="AA472" s="81" t="n"/>
      <c r="AB472" s="81" t="n"/>
      <c r="AC472" s="81" t="n"/>
      <c r="AD472" s="81" t="n"/>
      <c r="AE472" s="81" t="n"/>
      <c r="AF472" s="81" t="n"/>
      <c r="AG472" s="81" t="n"/>
      <c r="AH472" s="113" t="n"/>
      <c r="AI472" s="81" t="n"/>
      <c r="AJ472" s="81" t="n"/>
      <c r="AK472" s="113" t="n"/>
      <c r="AL472" s="81" t="n"/>
      <c r="AM472" s="81" t="n"/>
      <c r="AN472" s="81" t="n"/>
      <c r="AO472" s="113" t="n"/>
      <c r="AP472" s="113" t="n"/>
      <c r="AQ472" s="81" t="n"/>
      <c r="AR472" s="113" t="n"/>
      <c r="AS472" s="113" t="n"/>
      <c r="AT472" s="114" t="n"/>
      <c r="AU472" s="81" t="n"/>
      <c r="AV472" s="114" t="n"/>
      <c r="AW472" s="114" t="n"/>
      <c r="AX472" s="81" t="n"/>
      <c r="AY472" s="113" t="n"/>
      <c r="AZ472" s="115">
        <f>IF($B472="","",COUNTIF(References!$A$4:$A$503,$A472))</f>
        <v/>
      </c>
      <c r="BA472" s="115">
        <f>IF($B472="","",(LEN(A472)=0)+(LEN(B472)=0)+(LEN(D472)=0)+(LEN(G472)=0)+(LEN(H472)=0)+(LEN(I472)=0)+(LEN(J472)=0)+(LEN(L472)=0)+(LEN(M472)=0)+(LEN(O472)=0)+(LEN(R472)=0)+(LEN(X472)=0)+(LEN(AI472)=0)+(LEN(AJ472)=0)+(LEN(AQ472)=0)+(LEN(AR472)=0)+(LEN(AT472)=0)+(LEN(AU472)=0)+(LEN(AV472)=0)+(LEN(AX472)=0))</f>
        <v/>
      </c>
      <c r="BB472" s="115">
        <f>IF($B472="","",IF(AND(BA472=0,AZ472&gt;=1),"Complete","Incomplete"))</f>
        <v/>
      </c>
    </row>
    <row r="473" ht="15" customHeight="1" s="62">
      <c r="A473" s="81" t="n"/>
      <c r="B473" s="113" t="n"/>
      <c r="C473" s="81" t="n"/>
      <c r="D473" s="81" t="n"/>
      <c r="E473" s="81" t="n"/>
      <c r="F473" s="81" t="n"/>
      <c r="G473" s="81" t="n"/>
      <c r="H473" s="81" t="n"/>
      <c r="I473" s="81" t="n"/>
      <c r="J473" s="81" t="n"/>
      <c r="K473" s="81" t="n"/>
      <c r="L473" s="113" t="n"/>
      <c r="M473" s="81" t="n"/>
      <c r="N473" s="81" t="n"/>
      <c r="O473" s="81" t="n"/>
      <c r="P473" s="81" t="n"/>
      <c r="Q473" s="113" t="n"/>
      <c r="R473" s="113" t="n"/>
      <c r="S473" s="113" t="n"/>
      <c r="T473" s="81" t="n"/>
      <c r="U473" s="81" t="n"/>
      <c r="V473" s="113" t="n"/>
      <c r="W473" s="81" t="n"/>
      <c r="X473" s="81" t="n"/>
      <c r="Y473" s="81" t="n"/>
      <c r="Z473" s="81" t="n"/>
      <c r="AA473" s="81" t="n"/>
      <c r="AB473" s="81" t="n"/>
      <c r="AC473" s="81" t="n"/>
      <c r="AD473" s="81" t="n"/>
      <c r="AE473" s="81" t="n"/>
      <c r="AF473" s="81" t="n"/>
      <c r="AG473" s="81" t="n"/>
      <c r="AH473" s="113" t="n"/>
      <c r="AI473" s="81" t="n"/>
      <c r="AJ473" s="81" t="n"/>
      <c r="AK473" s="113" t="n"/>
      <c r="AL473" s="81" t="n"/>
      <c r="AM473" s="81" t="n"/>
      <c r="AN473" s="81" t="n"/>
      <c r="AO473" s="113" t="n"/>
      <c r="AP473" s="113" t="n"/>
      <c r="AQ473" s="81" t="n"/>
      <c r="AR473" s="113" t="n"/>
      <c r="AS473" s="113" t="n"/>
      <c r="AT473" s="114" t="n"/>
      <c r="AU473" s="81" t="n"/>
      <c r="AV473" s="114" t="n"/>
      <c r="AW473" s="114" t="n"/>
      <c r="AX473" s="81" t="n"/>
      <c r="AY473" s="113" t="n"/>
      <c r="AZ473" s="115">
        <f>IF($B473="","",COUNTIF(References!$A$4:$A$503,$A473))</f>
        <v/>
      </c>
      <c r="BA473" s="115">
        <f>IF($B473="","",(LEN(A473)=0)+(LEN(B473)=0)+(LEN(D473)=0)+(LEN(G473)=0)+(LEN(H473)=0)+(LEN(I473)=0)+(LEN(J473)=0)+(LEN(L473)=0)+(LEN(M473)=0)+(LEN(O473)=0)+(LEN(R473)=0)+(LEN(X473)=0)+(LEN(AI473)=0)+(LEN(AJ473)=0)+(LEN(AQ473)=0)+(LEN(AR473)=0)+(LEN(AT473)=0)+(LEN(AU473)=0)+(LEN(AV473)=0)+(LEN(AX473)=0))</f>
        <v/>
      </c>
      <c r="BB473" s="115">
        <f>IF($B473="","",IF(AND(BA473=0,AZ473&gt;=1),"Complete","Incomplete"))</f>
        <v/>
      </c>
    </row>
    <row r="474" ht="15" customHeight="1" s="62">
      <c r="A474" s="81" t="n"/>
      <c r="B474" s="113" t="n"/>
      <c r="C474" s="81" t="n"/>
      <c r="D474" s="81" t="n"/>
      <c r="E474" s="81" t="n"/>
      <c r="F474" s="81" t="n"/>
      <c r="G474" s="81" t="n"/>
      <c r="H474" s="81" t="n"/>
      <c r="I474" s="81" t="n"/>
      <c r="J474" s="81" t="n"/>
      <c r="K474" s="81" t="n"/>
      <c r="L474" s="113" t="n"/>
      <c r="M474" s="81" t="n"/>
      <c r="N474" s="81" t="n"/>
      <c r="O474" s="81" t="n"/>
      <c r="P474" s="81" t="n"/>
      <c r="Q474" s="113" t="n"/>
      <c r="R474" s="113" t="n"/>
      <c r="S474" s="113" t="n"/>
      <c r="T474" s="81" t="n"/>
      <c r="U474" s="81" t="n"/>
      <c r="V474" s="113" t="n"/>
      <c r="W474" s="81" t="n"/>
      <c r="X474" s="81" t="n"/>
      <c r="Y474" s="81" t="n"/>
      <c r="Z474" s="81" t="n"/>
      <c r="AA474" s="81" t="n"/>
      <c r="AB474" s="81" t="n"/>
      <c r="AC474" s="81" t="n"/>
      <c r="AD474" s="81" t="n"/>
      <c r="AE474" s="81" t="n"/>
      <c r="AF474" s="81" t="n"/>
      <c r="AG474" s="81" t="n"/>
      <c r="AH474" s="113" t="n"/>
      <c r="AI474" s="81" t="n"/>
      <c r="AJ474" s="81" t="n"/>
      <c r="AK474" s="113" t="n"/>
      <c r="AL474" s="81" t="n"/>
      <c r="AM474" s="81" t="n"/>
      <c r="AN474" s="81" t="n"/>
      <c r="AO474" s="113" t="n"/>
      <c r="AP474" s="113" t="n"/>
      <c r="AQ474" s="81" t="n"/>
      <c r="AR474" s="113" t="n"/>
      <c r="AS474" s="113" t="n"/>
      <c r="AT474" s="114" t="n"/>
      <c r="AU474" s="81" t="n"/>
      <c r="AV474" s="114" t="n"/>
      <c r="AW474" s="114" t="n"/>
      <c r="AX474" s="81" t="n"/>
      <c r="AY474" s="113" t="n"/>
      <c r="AZ474" s="115">
        <f>IF($B474="","",COUNTIF(References!$A$4:$A$503,$A474))</f>
        <v/>
      </c>
      <c r="BA474" s="115">
        <f>IF($B474="","",(LEN(A474)=0)+(LEN(B474)=0)+(LEN(D474)=0)+(LEN(G474)=0)+(LEN(H474)=0)+(LEN(I474)=0)+(LEN(J474)=0)+(LEN(L474)=0)+(LEN(M474)=0)+(LEN(O474)=0)+(LEN(R474)=0)+(LEN(X474)=0)+(LEN(AI474)=0)+(LEN(AJ474)=0)+(LEN(AQ474)=0)+(LEN(AR474)=0)+(LEN(AT474)=0)+(LEN(AU474)=0)+(LEN(AV474)=0)+(LEN(AX474)=0))</f>
        <v/>
      </c>
      <c r="BB474" s="115">
        <f>IF($B474="","",IF(AND(BA474=0,AZ474&gt;=1),"Complete","Incomplete"))</f>
        <v/>
      </c>
    </row>
    <row r="475" ht="15" customHeight="1" s="62">
      <c r="A475" s="81" t="n"/>
      <c r="B475" s="113" t="n"/>
      <c r="C475" s="81" t="n"/>
      <c r="D475" s="81" t="n"/>
      <c r="E475" s="81" t="n"/>
      <c r="F475" s="81" t="n"/>
      <c r="G475" s="81" t="n"/>
      <c r="H475" s="81" t="n"/>
      <c r="I475" s="81" t="n"/>
      <c r="J475" s="81" t="n"/>
      <c r="K475" s="81" t="n"/>
      <c r="L475" s="113" t="n"/>
      <c r="M475" s="81" t="n"/>
      <c r="N475" s="81" t="n"/>
      <c r="O475" s="81" t="n"/>
      <c r="P475" s="81" t="n"/>
      <c r="Q475" s="113" t="n"/>
      <c r="R475" s="113" t="n"/>
      <c r="S475" s="113" t="n"/>
      <c r="T475" s="81" t="n"/>
      <c r="U475" s="81" t="n"/>
      <c r="V475" s="113" t="n"/>
      <c r="W475" s="81" t="n"/>
      <c r="X475" s="81" t="n"/>
      <c r="Y475" s="81" t="n"/>
      <c r="Z475" s="81" t="n"/>
      <c r="AA475" s="81" t="n"/>
      <c r="AB475" s="81" t="n"/>
      <c r="AC475" s="81" t="n"/>
      <c r="AD475" s="81" t="n"/>
      <c r="AE475" s="81" t="n"/>
      <c r="AF475" s="81" t="n"/>
      <c r="AG475" s="81" t="n"/>
      <c r="AH475" s="113" t="n"/>
      <c r="AI475" s="81" t="n"/>
      <c r="AJ475" s="81" t="n"/>
      <c r="AK475" s="113" t="n"/>
      <c r="AL475" s="81" t="n"/>
      <c r="AM475" s="81" t="n"/>
      <c r="AN475" s="81" t="n"/>
      <c r="AO475" s="113" t="n"/>
      <c r="AP475" s="113" t="n"/>
      <c r="AQ475" s="81" t="n"/>
      <c r="AR475" s="113" t="n"/>
      <c r="AS475" s="113" t="n"/>
      <c r="AT475" s="114" t="n"/>
      <c r="AU475" s="81" t="n"/>
      <c r="AV475" s="114" t="n"/>
      <c r="AW475" s="114" t="n"/>
      <c r="AX475" s="81" t="n"/>
      <c r="AY475" s="113" t="n"/>
      <c r="AZ475" s="115">
        <f>IF($B475="","",COUNTIF(References!$A$4:$A$503,$A475))</f>
        <v/>
      </c>
      <c r="BA475" s="115">
        <f>IF($B475="","",(LEN(A475)=0)+(LEN(B475)=0)+(LEN(D475)=0)+(LEN(G475)=0)+(LEN(H475)=0)+(LEN(I475)=0)+(LEN(J475)=0)+(LEN(L475)=0)+(LEN(M475)=0)+(LEN(O475)=0)+(LEN(R475)=0)+(LEN(X475)=0)+(LEN(AI475)=0)+(LEN(AJ475)=0)+(LEN(AQ475)=0)+(LEN(AR475)=0)+(LEN(AT475)=0)+(LEN(AU475)=0)+(LEN(AV475)=0)+(LEN(AX475)=0))</f>
        <v/>
      </c>
      <c r="BB475" s="115">
        <f>IF($B475="","",IF(AND(BA475=0,AZ475&gt;=1),"Complete","Incomplete"))</f>
        <v/>
      </c>
    </row>
    <row r="476" ht="15" customHeight="1" s="62">
      <c r="A476" s="81" t="n"/>
      <c r="B476" s="113" t="n"/>
      <c r="C476" s="81" t="n"/>
      <c r="D476" s="81" t="n"/>
      <c r="E476" s="81" t="n"/>
      <c r="F476" s="81" t="n"/>
      <c r="G476" s="81" t="n"/>
      <c r="H476" s="81" t="n"/>
      <c r="I476" s="81" t="n"/>
      <c r="J476" s="81" t="n"/>
      <c r="K476" s="81" t="n"/>
      <c r="L476" s="113" t="n"/>
      <c r="M476" s="81" t="n"/>
      <c r="N476" s="81" t="n"/>
      <c r="O476" s="81" t="n"/>
      <c r="P476" s="81" t="n"/>
      <c r="Q476" s="113" t="n"/>
      <c r="R476" s="113" t="n"/>
      <c r="S476" s="113" t="n"/>
      <c r="T476" s="81" t="n"/>
      <c r="U476" s="81" t="n"/>
      <c r="V476" s="113" t="n"/>
      <c r="W476" s="81" t="n"/>
      <c r="X476" s="81" t="n"/>
      <c r="Y476" s="81" t="n"/>
      <c r="Z476" s="81" t="n"/>
      <c r="AA476" s="81" t="n"/>
      <c r="AB476" s="81" t="n"/>
      <c r="AC476" s="81" t="n"/>
      <c r="AD476" s="81" t="n"/>
      <c r="AE476" s="81" t="n"/>
      <c r="AF476" s="81" t="n"/>
      <c r="AG476" s="81" t="n"/>
      <c r="AH476" s="113" t="n"/>
      <c r="AI476" s="81" t="n"/>
      <c r="AJ476" s="81" t="n"/>
      <c r="AK476" s="113" t="n"/>
      <c r="AL476" s="81" t="n"/>
      <c r="AM476" s="81" t="n"/>
      <c r="AN476" s="81" t="n"/>
      <c r="AO476" s="113" t="n"/>
      <c r="AP476" s="113" t="n"/>
      <c r="AQ476" s="81" t="n"/>
      <c r="AR476" s="113" t="n"/>
      <c r="AS476" s="113" t="n"/>
      <c r="AT476" s="114" t="n"/>
      <c r="AU476" s="81" t="n"/>
      <c r="AV476" s="114" t="n"/>
      <c r="AW476" s="114" t="n"/>
      <c r="AX476" s="81" t="n"/>
      <c r="AY476" s="113" t="n"/>
      <c r="AZ476" s="115">
        <f>IF($B476="","",COUNTIF(References!$A$4:$A$503,$A476))</f>
        <v/>
      </c>
      <c r="BA476" s="115">
        <f>IF($B476="","",(LEN(A476)=0)+(LEN(B476)=0)+(LEN(D476)=0)+(LEN(G476)=0)+(LEN(H476)=0)+(LEN(I476)=0)+(LEN(J476)=0)+(LEN(L476)=0)+(LEN(M476)=0)+(LEN(O476)=0)+(LEN(R476)=0)+(LEN(X476)=0)+(LEN(AI476)=0)+(LEN(AJ476)=0)+(LEN(AQ476)=0)+(LEN(AR476)=0)+(LEN(AT476)=0)+(LEN(AU476)=0)+(LEN(AV476)=0)+(LEN(AX476)=0))</f>
        <v/>
      </c>
      <c r="BB476" s="115">
        <f>IF($B476="","",IF(AND(BA476=0,AZ476&gt;=1),"Complete","Incomplete"))</f>
        <v/>
      </c>
    </row>
    <row r="477" ht="15" customHeight="1" s="62">
      <c r="A477" s="81" t="n"/>
      <c r="B477" s="113" t="n"/>
      <c r="C477" s="81" t="n"/>
      <c r="D477" s="81" t="n"/>
      <c r="E477" s="81" t="n"/>
      <c r="F477" s="81" t="n"/>
      <c r="G477" s="81" t="n"/>
      <c r="H477" s="81" t="n"/>
      <c r="I477" s="81" t="n"/>
      <c r="J477" s="81" t="n"/>
      <c r="K477" s="81" t="n"/>
      <c r="L477" s="113" t="n"/>
      <c r="M477" s="81" t="n"/>
      <c r="N477" s="81" t="n"/>
      <c r="O477" s="81" t="n"/>
      <c r="P477" s="81" t="n"/>
      <c r="Q477" s="113" t="n"/>
      <c r="R477" s="113" t="n"/>
      <c r="S477" s="113" t="n"/>
      <c r="T477" s="81" t="n"/>
      <c r="U477" s="81" t="n"/>
      <c r="V477" s="113" t="n"/>
      <c r="W477" s="81" t="n"/>
      <c r="X477" s="81" t="n"/>
      <c r="Y477" s="81" t="n"/>
      <c r="Z477" s="81" t="n"/>
      <c r="AA477" s="81" t="n"/>
      <c r="AB477" s="81" t="n"/>
      <c r="AC477" s="81" t="n"/>
      <c r="AD477" s="81" t="n"/>
      <c r="AE477" s="81" t="n"/>
      <c r="AF477" s="81" t="n"/>
      <c r="AG477" s="81" t="n"/>
      <c r="AH477" s="113" t="n"/>
      <c r="AI477" s="81" t="n"/>
      <c r="AJ477" s="81" t="n"/>
      <c r="AK477" s="113" t="n"/>
      <c r="AL477" s="81" t="n"/>
      <c r="AM477" s="81" t="n"/>
      <c r="AN477" s="81" t="n"/>
      <c r="AO477" s="113" t="n"/>
      <c r="AP477" s="113" t="n"/>
      <c r="AQ477" s="81" t="n"/>
      <c r="AR477" s="113" t="n"/>
      <c r="AS477" s="113" t="n"/>
      <c r="AT477" s="114" t="n"/>
      <c r="AU477" s="81" t="n"/>
      <c r="AV477" s="114" t="n"/>
      <c r="AW477" s="114" t="n"/>
      <c r="AX477" s="81" t="n"/>
      <c r="AY477" s="113" t="n"/>
      <c r="AZ477" s="115">
        <f>IF($B477="","",COUNTIF(References!$A$4:$A$503,$A477))</f>
        <v/>
      </c>
      <c r="BA477" s="115">
        <f>IF($B477="","",(LEN(A477)=0)+(LEN(B477)=0)+(LEN(D477)=0)+(LEN(G477)=0)+(LEN(H477)=0)+(LEN(I477)=0)+(LEN(J477)=0)+(LEN(L477)=0)+(LEN(M477)=0)+(LEN(O477)=0)+(LEN(R477)=0)+(LEN(X477)=0)+(LEN(AI477)=0)+(LEN(AJ477)=0)+(LEN(AQ477)=0)+(LEN(AR477)=0)+(LEN(AT477)=0)+(LEN(AU477)=0)+(LEN(AV477)=0)+(LEN(AX477)=0))</f>
        <v/>
      </c>
      <c r="BB477" s="115">
        <f>IF($B477="","",IF(AND(BA477=0,AZ477&gt;=1),"Complete","Incomplete"))</f>
        <v/>
      </c>
    </row>
    <row r="478" ht="15" customHeight="1" s="62">
      <c r="A478" s="81" t="n"/>
      <c r="B478" s="113" t="n"/>
      <c r="C478" s="81" t="n"/>
      <c r="D478" s="81" t="n"/>
      <c r="E478" s="81" t="n"/>
      <c r="F478" s="81" t="n"/>
      <c r="G478" s="81" t="n"/>
      <c r="H478" s="81" t="n"/>
      <c r="I478" s="81" t="n"/>
      <c r="J478" s="81" t="n"/>
      <c r="K478" s="81" t="n"/>
      <c r="L478" s="113" t="n"/>
      <c r="M478" s="81" t="n"/>
      <c r="N478" s="81" t="n"/>
      <c r="O478" s="81" t="n"/>
      <c r="P478" s="81" t="n"/>
      <c r="Q478" s="113" t="n"/>
      <c r="R478" s="113" t="n"/>
      <c r="S478" s="113" t="n"/>
      <c r="T478" s="81" t="n"/>
      <c r="U478" s="81" t="n"/>
      <c r="V478" s="113" t="n"/>
      <c r="W478" s="81" t="n"/>
      <c r="X478" s="81" t="n"/>
      <c r="Y478" s="81" t="n"/>
      <c r="Z478" s="81" t="n"/>
      <c r="AA478" s="81" t="n"/>
      <c r="AB478" s="81" t="n"/>
      <c r="AC478" s="81" t="n"/>
      <c r="AD478" s="81" t="n"/>
      <c r="AE478" s="81" t="n"/>
      <c r="AF478" s="81" t="n"/>
      <c r="AG478" s="81" t="n"/>
      <c r="AH478" s="113" t="n"/>
      <c r="AI478" s="81" t="n"/>
      <c r="AJ478" s="81" t="n"/>
      <c r="AK478" s="113" t="n"/>
      <c r="AL478" s="81" t="n"/>
      <c r="AM478" s="81" t="n"/>
      <c r="AN478" s="81" t="n"/>
      <c r="AO478" s="113" t="n"/>
      <c r="AP478" s="113" t="n"/>
      <c r="AQ478" s="81" t="n"/>
      <c r="AR478" s="113" t="n"/>
      <c r="AS478" s="113" t="n"/>
      <c r="AT478" s="114" t="n"/>
      <c r="AU478" s="81" t="n"/>
      <c r="AV478" s="114" t="n"/>
      <c r="AW478" s="114" t="n"/>
      <c r="AX478" s="81" t="n"/>
      <c r="AY478" s="113" t="n"/>
      <c r="AZ478" s="115">
        <f>IF($B478="","",COUNTIF(References!$A$4:$A$503,$A478))</f>
        <v/>
      </c>
      <c r="BA478" s="115">
        <f>IF($B478="","",(LEN(A478)=0)+(LEN(B478)=0)+(LEN(D478)=0)+(LEN(G478)=0)+(LEN(H478)=0)+(LEN(I478)=0)+(LEN(J478)=0)+(LEN(L478)=0)+(LEN(M478)=0)+(LEN(O478)=0)+(LEN(R478)=0)+(LEN(X478)=0)+(LEN(AI478)=0)+(LEN(AJ478)=0)+(LEN(AQ478)=0)+(LEN(AR478)=0)+(LEN(AT478)=0)+(LEN(AU478)=0)+(LEN(AV478)=0)+(LEN(AX478)=0))</f>
        <v/>
      </c>
      <c r="BB478" s="115">
        <f>IF($B478="","",IF(AND(BA478=0,AZ478&gt;=1),"Complete","Incomplete"))</f>
        <v/>
      </c>
    </row>
    <row r="479" ht="15" customHeight="1" s="62">
      <c r="A479" s="81" t="n"/>
      <c r="B479" s="113" t="n"/>
      <c r="C479" s="81" t="n"/>
      <c r="D479" s="81" t="n"/>
      <c r="E479" s="81" t="n"/>
      <c r="F479" s="81" t="n"/>
      <c r="G479" s="81" t="n"/>
      <c r="H479" s="81" t="n"/>
      <c r="I479" s="81" t="n"/>
      <c r="J479" s="81" t="n"/>
      <c r="K479" s="81" t="n"/>
      <c r="L479" s="113" t="n"/>
      <c r="M479" s="81" t="n"/>
      <c r="N479" s="81" t="n"/>
      <c r="O479" s="81" t="n"/>
      <c r="P479" s="81" t="n"/>
      <c r="Q479" s="113" t="n"/>
      <c r="R479" s="113" t="n"/>
      <c r="S479" s="113" t="n"/>
      <c r="T479" s="81" t="n"/>
      <c r="U479" s="81" t="n"/>
      <c r="V479" s="113" t="n"/>
      <c r="W479" s="81" t="n"/>
      <c r="X479" s="81" t="n"/>
      <c r="Y479" s="81" t="n"/>
      <c r="Z479" s="81" t="n"/>
      <c r="AA479" s="81" t="n"/>
      <c r="AB479" s="81" t="n"/>
      <c r="AC479" s="81" t="n"/>
      <c r="AD479" s="81" t="n"/>
      <c r="AE479" s="81" t="n"/>
      <c r="AF479" s="81" t="n"/>
      <c r="AG479" s="81" t="n"/>
      <c r="AH479" s="113" t="n"/>
      <c r="AI479" s="81" t="n"/>
      <c r="AJ479" s="81" t="n"/>
      <c r="AK479" s="113" t="n"/>
      <c r="AL479" s="81" t="n"/>
      <c r="AM479" s="81" t="n"/>
      <c r="AN479" s="81" t="n"/>
      <c r="AO479" s="113" t="n"/>
      <c r="AP479" s="113" t="n"/>
      <c r="AQ479" s="81" t="n"/>
      <c r="AR479" s="113" t="n"/>
      <c r="AS479" s="113" t="n"/>
      <c r="AT479" s="114" t="n"/>
      <c r="AU479" s="81" t="n"/>
      <c r="AV479" s="114" t="n"/>
      <c r="AW479" s="114" t="n"/>
      <c r="AX479" s="81" t="n"/>
      <c r="AY479" s="113" t="n"/>
      <c r="AZ479" s="115">
        <f>IF($B479="","",COUNTIF(References!$A$4:$A$503,$A479))</f>
        <v/>
      </c>
      <c r="BA479" s="115">
        <f>IF($B479="","",(LEN(A479)=0)+(LEN(B479)=0)+(LEN(D479)=0)+(LEN(G479)=0)+(LEN(H479)=0)+(LEN(I479)=0)+(LEN(J479)=0)+(LEN(L479)=0)+(LEN(M479)=0)+(LEN(O479)=0)+(LEN(R479)=0)+(LEN(X479)=0)+(LEN(AI479)=0)+(LEN(AJ479)=0)+(LEN(AQ479)=0)+(LEN(AR479)=0)+(LEN(AT479)=0)+(LEN(AU479)=0)+(LEN(AV479)=0)+(LEN(AX479)=0))</f>
        <v/>
      </c>
      <c r="BB479" s="115">
        <f>IF($B479="","",IF(AND(BA479=0,AZ479&gt;=1),"Complete","Incomplete"))</f>
        <v/>
      </c>
    </row>
    <row r="480" ht="15" customHeight="1" s="62">
      <c r="A480" s="81" t="n"/>
      <c r="B480" s="113" t="n"/>
      <c r="C480" s="81" t="n"/>
      <c r="D480" s="81" t="n"/>
      <c r="E480" s="81" t="n"/>
      <c r="F480" s="81" t="n"/>
      <c r="G480" s="81" t="n"/>
      <c r="H480" s="81" t="n"/>
      <c r="I480" s="81" t="n"/>
      <c r="J480" s="81" t="n"/>
      <c r="K480" s="81" t="n"/>
      <c r="L480" s="113" t="n"/>
      <c r="M480" s="81" t="n"/>
      <c r="N480" s="81" t="n"/>
      <c r="O480" s="81" t="n"/>
      <c r="P480" s="81" t="n"/>
      <c r="Q480" s="113" t="n"/>
      <c r="R480" s="113" t="n"/>
      <c r="S480" s="113" t="n"/>
      <c r="T480" s="81" t="n"/>
      <c r="U480" s="81" t="n"/>
      <c r="V480" s="113" t="n"/>
      <c r="W480" s="81" t="n"/>
      <c r="X480" s="81" t="n"/>
      <c r="Y480" s="81" t="n"/>
      <c r="Z480" s="81" t="n"/>
      <c r="AA480" s="81" t="n"/>
      <c r="AB480" s="81" t="n"/>
      <c r="AC480" s="81" t="n"/>
      <c r="AD480" s="81" t="n"/>
      <c r="AE480" s="81" t="n"/>
      <c r="AF480" s="81" t="n"/>
      <c r="AG480" s="81" t="n"/>
      <c r="AH480" s="113" t="n"/>
      <c r="AI480" s="81" t="n"/>
      <c r="AJ480" s="81" t="n"/>
      <c r="AK480" s="113" t="n"/>
      <c r="AL480" s="81" t="n"/>
      <c r="AM480" s="81" t="n"/>
      <c r="AN480" s="81" t="n"/>
      <c r="AO480" s="113" t="n"/>
      <c r="AP480" s="113" t="n"/>
      <c r="AQ480" s="81" t="n"/>
      <c r="AR480" s="113" t="n"/>
      <c r="AS480" s="113" t="n"/>
      <c r="AT480" s="114" t="n"/>
      <c r="AU480" s="81" t="n"/>
      <c r="AV480" s="114" t="n"/>
      <c r="AW480" s="114" t="n"/>
      <c r="AX480" s="81" t="n"/>
      <c r="AY480" s="113" t="n"/>
      <c r="AZ480" s="115">
        <f>IF($B480="","",COUNTIF(References!$A$4:$A$503,$A480))</f>
        <v/>
      </c>
      <c r="BA480" s="115">
        <f>IF($B480="","",(LEN(A480)=0)+(LEN(B480)=0)+(LEN(D480)=0)+(LEN(G480)=0)+(LEN(H480)=0)+(LEN(I480)=0)+(LEN(J480)=0)+(LEN(L480)=0)+(LEN(M480)=0)+(LEN(O480)=0)+(LEN(R480)=0)+(LEN(X480)=0)+(LEN(AI480)=0)+(LEN(AJ480)=0)+(LEN(AQ480)=0)+(LEN(AR480)=0)+(LEN(AT480)=0)+(LEN(AU480)=0)+(LEN(AV480)=0)+(LEN(AX480)=0))</f>
        <v/>
      </c>
      <c r="BB480" s="115">
        <f>IF($B480="","",IF(AND(BA480=0,AZ480&gt;=1),"Complete","Incomplete"))</f>
        <v/>
      </c>
    </row>
    <row r="481" ht="15" customHeight="1" s="62">
      <c r="A481" s="81" t="n"/>
      <c r="B481" s="113" t="n"/>
      <c r="C481" s="81" t="n"/>
      <c r="D481" s="81" t="n"/>
      <c r="E481" s="81" t="n"/>
      <c r="F481" s="81" t="n"/>
      <c r="G481" s="81" t="n"/>
      <c r="H481" s="81" t="n"/>
      <c r="I481" s="81" t="n"/>
      <c r="J481" s="81" t="n"/>
      <c r="K481" s="81" t="n"/>
      <c r="L481" s="113" t="n"/>
      <c r="M481" s="81" t="n"/>
      <c r="N481" s="81" t="n"/>
      <c r="O481" s="81" t="n"/>
      <c r="P481" s="81" t="n"/>
      <c r="Q481" s="113" t="n"/>
      <c r="R481" s="113" t="n"/>
      <c r="S481" s="113" t="n"/>
      <c r="T481" s="81" t="n"/>
      <c r="U481" s="81" t="n"/>
      <c r="V481" s="113" t="n"/>
      <c r="W481" s="81" t="n"/>
      <c r="X481" s="81" t="n"/>
      <c r="Y481" s="81" t="n"/>
      <c r="Z481" s="81" t="n"/>
      <c r="AA481" s="81" t="n"/>
      <c r="AB481" s="81" t="n"/>
      <c r="AC481" s="81" t="n"/>
      <c r="AD481" s="81" t="n"/>
      <c r="AE481" s="81" t="n"/>
      <c r="AF481" s="81" t="n"/>
      <c r="AG481" s="81" t="n"/>
      <c r="AH481" s="113" t="n"/>
      <c r="AI481" s="81" t="n"/>
      <c r="AJ481" s="81" t="n"/>
      <c r="AK481" s="113" t="n"/>
      <c r="AL481" s="81" t="n"/>
      <c r="AM481" s="81" t="n"/>
      <c r="AN481" s="81" t="n"/>
      <c r="AO481" s="113" t="n"/>
      <c r="AP481" s="113" t="n"/>
      <c r="AQ481" s="81" t="n"/>
      <c r="AR481" s="113" t="n"/>
      <c r="AS481" s="113" t="n"/>
      <c r="AT481" s="114" t="n"/>
      <c r="AU481" s="81" t="n"/>
      <c r="AV481" s="114" t="n"/>
      <c r="AW481" s="114" t="n"/>
      <c r="AX481" s="81" t="n"/>
      <c r="AY481" s="113" t="n"/>
      <c r="AZ481" s="115">
        <f>IF($B481="","",COUNTIF(References!$A$4:$A$503,$A481))</f>
        <v/>
      </c>
      <c r="BA481" s="115">
        <f>IF($B481="","",(LEN(A481)=0)+(LEN(B481)=0)+(LEN(D481)=0)+(LEN(G481)=0)+(LEN(H481)=0)+(LEN(I481)=0)+(LEN(J481)=0)+(LEN(L481)=0)+(LEN(M481)=0)+(LEN(O481)=0)+(LEN(R481)=0)+(LEN(X481)=0)+(LEN(AI481)=0)+(LEN(AJ481)=0)+(LEN(AQ481)=0)+(LEN(AR481)=0)+(LEN(AT481)=0)+(LEN(AU481)=0)+(LEN(AV481)=0)+(LEN(AX481)=0))</f>
        <v/>
      </c>
      <c r="BB481" s="115">
        <f>IF($B481="","",IF(AND(BA481=0,AZ481&gt;=1),"Complete","Incomplete"))</f>
        <v/>
      </c>
    </row>
    <row r="482" ht="15" customHeight="1" s="62">
      <c r="A482" s="81" t="n"/>
      <c r="B482" s="113" t="n"/>
      <c r="C482" s="81" t="n"/>
      <c r="D482" s="81" t="n"/>
      <c r="E482" s="81" t="n"/>
      <c r="F482" s="81" t="n"/>
      <c r="G482" s="81" t="n"/>
      <c r="H482" s="81" t="n"/>
      <c r="I482" s="81" t="n"/>
      <c r="J482" s="81" t="n"/>
      <c r="K482" s="81" t="n"/>
      <c r="L482" s="113" t="n"/>
      <c r="M482" s="81" t="n"/>
      <c r="N482" s="81" t="n"/>
      <c r="O482" s="81" t="n"/>
      <c r="P482" s="81" t="n"/>
      <c r="Q482" s="113" t="n"/>
      <c r="R482" s="113" t="n"/>
      <c r="S482" s="113" t="n"/>
      <c r="T482" s="81" t="n"/>
      <c r="U482" s="81" t="n"/>
      <c r="V482" s="113" t="n"/>
      <c r="W482" s="81" t="n"/>
      <c r="X482" s="81" t="n"/>
      <c r="Y482" s="81" t="n"/>
      <c r="Z482" s="81" t="n"/>
      <c r="AA482" s="81" t="n"/>
      <c r="AB482" s="81" t="n"/>
      <c r="AC482" s="81" t="n"/>
      <c r="AD482" s="81" t="n"/>
      <c r="AE482" s="81" t="n"/>
      <c r="AF482" s="81" t="n"/>
      <c r="AG482" s="81" t="n"/>
      <c r="AH482" s="113" t="n"/>
      <c r="AI482" s="81" t="n"/>
      <c r="AJ482" s="81" t="n"/>
      <c r="AK482" s="113" t="n"/>
      <c r="AL482" s="81" t="n"/>
      <c r="AM482" s="81" t="n"/>
      <c r="AN482" s="81" t="n"/>
      <c r="AO482" s="113" t="n"/>
      <c r="AP482" s="113" t="n"/>
      <c r="AQ482" s="81" t="n"/>
      <c r="AR482" s="113" t="n"/>
      <c r="AS482" s="113" t="n"/>
      <c r="AT482" s="114" t="n"/>
      <c r="AU482" s="81" t="n"/>
      <c r="AV482" s="114" t="n"/>
      <c r="AW482" s="114" t="n"/>
      <c r="AX482" s="81" t="n"/>
      <c r="AY482" s="113" t="n"/>
      <c r="AZ482" s="115">
        <f>IF($B482="","",COUNTIF(References!$A$4:$A$503,$A482))</f>
        <v/>
      </c>
      <c r="BA482" s="115">
        <f>IF($B482="","",(LEN(A482)=0)+(LEN(B482)=0)+(LEN(D482)=0)+(LEN(G482)=0)+(LEN(H482)=0)+(LEN(I482)=0)+(LEN(J482)=0)+(LEN(L482)=0)+(LEN(M482)=0)+(LEN(O482)=0)+(LEN(R482)=0)+(LEN(X482)=0)+(LEN(AI482)=0)+(LEN(AJ482)=0)+(LEN(AQ482)=0)+(LEN(AR482)=0)+(LEN(AT482)=0)+(LEN(AU482)=0)+(LEN(AV482)=0)+(LEN(AX482)=0))</f>
        <v/>
      </c>
      <c r="BB482" s="115">
        <f>IF($B482="","",IF(AND(BA482=0,AZ482&gt;=1),"Complete","Incomplete"))</f>
        <v/>
      </c>
    </row>
    <row r="483" ht="15" customHeight="1" s="62">
      <c r="A483" s="81" t="n"/>
      <c r="B483" s="113" t="n"/>
      <c r="C483" s="81" t="n"/>
      <c r="D483" s="81" t="n"/>
      <c r="E483" s="81" t="n"/>
      <c r="F483" s="81" t="n"/>
      <c r="G483" s="81" t="n"/>
      <c r="H483" s="81" t="n"/>
      <c r="I483" s="81" t="n"/>
      <c r="J483" s="81" t="n"/>
      <c r="K483" s="81" t="n"/>
      <c r="L483" s="113" t="n"/>
      <c r="M483" s="81" t="n"/>
      <c r="N483" s="81" t="n"/>
      <c r="O483" s="81" t="n"/>
      <c r="P483" s="81" t="n"/>
      <c r="Q483" s="113" t="n"/>
      <c r="R483" s="113" t="n"/>
      <c r="S483" s="113" t="n"/>
      <c r="T483" s="81" t="n"/>
      <c r="U483" s="81" t="n"/>
      <c r="V483" s="113" t="n"/>
      <c r="W483" s="81" t="n"/>
      <c r="X483" s="81" t="n"/>
      <c r="Y483" s="81" t="n"/>
      <c r="Z483" s="81" t="n"/>
      <c r="AA483" s="81" t="n"/>
      <c r="AB483" s="81" t="n"/>
      <c r="AC483" s="81" t="n"/>
      <c r="AD483" s="81" t="n"/>
      <c r="AE483" s="81" t="n"/>
      <c r="AF483" s="81" t="n"/>
      <c r="AG483" s="81" t="n"/>
      <c r="AH483" s="113" t="n"/>
      <c r="AI483" s="81" t="n"/>
      <c r="AJ483" s="81" t="n"/>
      <c r="AK483" s="113" t="n"/>
      <c r="AL483" s="81" t="n"/>
      <c r="AM483" s="81" t="n"/>
      <c r="AN483" s="81" t="n"/>
      <c r="AO483" s="113" t="n"/>
      <c r="AP483" s="113" t="n"/>
      <c r="AQ483" s="81" t="n"/>
      <c r="AR483" s="113" t="n"/>
      <c r="AS483" s="113" t="n"/>
      <c r="AT483" s="114" t="n"/>
      <c r="AU483" s="81" t="n"/>
      <c r="AV483" s="114" t="n"/>
      <c r="AW483" s="114" t="n"/>
      <c r="AX483" s="81" t="n"/>
      <c r="AY483" s="113" t="n"/>
      <c r="AZ483" s="115">
        <f>IF($B483="","",COUNTIF(References!$A$4:$A$503,$A483))</f>
        <v/>
      </c>
      <c r="BA483" s="115">
        <f>IF($B483="","",(LEN(A483)=0)+(LEN(B483)=0)+(LEN(D483)=0)+(LEN(G483)=0)+(LEN(H483)=0)+(LEN(I483)=0)+(LEN(J483)=0)+(LEN(L483)=0)+(LEN(M483)=0)+(LEN(O483)=0)+(LEN(R483)=0)+(LEN(X483)=0)+(LEN(AI483)=0)+(LEN(AJ483)=0)+(LEN(AQ483)=0)+(LEN(AR483)=0)+(LEN(AT483)=0)+(LEN(AU483)=0)+(LEN(AV483)=0)+(LEN(AX483)=0))</f>
        <v/>
      </c>
      <c r="BB483" s="115">
        <f>IF($B483="","",IF(AND(BA483=0,AZ483&gt;=1),"Complete","Incomplete"))</f>
        <v/>
      </c>
    </row>
    <row r="484" ht="15" customHeight="1" s="62">
      <c r="A484" s="81" t="n"/>
      <c r="B484" s="113" t="n"/>
      <c r="C484" s="81" t="n"/>
      <c r="D484" s="81" t="n"/>
      <c r="E484" s="81" t="n"/>
      <c r="F484" s="81" t="n"/>
      <c r="G484" s="81" t="n"/>
      <c r="H484" s="81" t="n"/>
      <c r="I484" s="81" t="n"/>
      <c r="J484" s="81" t="n"/>
      <c r="K484" s="81" t="n"/>
      <c r="L484" s="113" t="n"/>
      <c r="M484" s="81" t="n"/>
      <c r="N484" s="81" t="n"/>
      <c r="O484" s="81" t="n"/>
      <c r="P484" s="81" t="n"/>
      <c r="Q484" s="113" t="n"/>
      <c r="R484" s="113" t="n"/>
      <c r="S484" s="113" t="n"/>
      <c r="T484" s="81" t="n"/>
      <c r="U484" s="81" t="n"/>
      <c r="V484" s="113" t="n"/>
      <c r="W484" s="81" t="n"/>
      <c r="X484" s="81" t="n"/>
      <c r="Y484" s="81" t="n"/>
      <c r="Z484" s="81" t="n"/>
      <c r="AA484" s="81" t="n"/>
      <c r="AB484" s="81" t="n"/>
      <c r="AC484" s="81" t="n"/>
      <c r="AD484" s="81" t="n"/>
      <c r="AE484" s="81" t="n"/>
      <c r="AF484" s="81" t="n"/>
      <c r="AG484" s="81" t="n"/>
      <c r="AH484" s="113" t="n"/>
      <c r="AI484" s="81" t="n"/>
      <c r="AJ484" s="81" t="n"/>
      <c r="AK484" s="113" t="n"/>
      <c r="AL484" s="81" t="n"/>
      <c r="AM484" s="81" t="n"/>
      <c r="AN484" s="81" t="n"/>
      <c r="AO484" s="113" t="n"/>
      <c r="AP484" s="113" t="n"/>
      <c r="AQ484" s="81" t="n"/>
      <c r="AR484" s="113" t="n"/>
      <c r="AS484" s="113" t="n"/>
      <c r="AT484" s="114" t="n"/>
      <c r="AU484" s="81" t="n"/>
      <c r="AV484" s="114" t="n"/>
      <c r="AW484" s="114" t="n"/>
      <c r="AX484" s="81" t="n"/>
      <c r="AY484" s="113" t="n"/>
      <c r="AZ484" s="115">
        <f>IF($B484="","",COUNTIF(References!$A$4:$A$503,$A484))</f>
        <v/>
      </c>
      <c r="BA484" s="115">
        <f>IF($B484="","",(LEN(A484)=0)+(LEN(B484)=0)+(LEN(D484)=0)+(LEN(G484)=0)+(LEN(H484)=0)+(LEN(I484)=0)+(LEN(J484)=0)+(LEN(L484)=0)+(LEN(M484)=0)+(LEN(O484)=0)+(LEN(R484)=0)+(LEN(X484)=0)+(LEN(AI484)=0)+(LEN(AJ484)=0)+(LEN(AQ484)=0)+(LEN(AR484)=0)+(LEN(AT484)=0)+(LEN(AU484)=0)+(LEN(AV484)=0)+(LEN(AX484)=0))</f>
        <v/>
      </c>
      <c r="BB484" s="115">
        <f>IF($B484="","",IF(AND(BA484=0,AZ484&gt;=1),"Complete","Incomplete"))</f>
        <v/>
      </c>
    </row>
    <row r="485" ht="15" customHeight="1" s="62">
      <c r="A485" s="81" t="n"/>
      <c r="B485" s="113" t="n"/>
      <c r="C485" s="81" t="n"/>
      <c r="D485" s="81" t="n"/>
      <c r="E485" s="81" t="n"/>
      <c r="F485" s="81" t="n"/>
      <c r="G485" s="81" t="n"/>
      <c r="H485" s="81" t="n"/>
      <c r="I485" s="81" t="n"/>
      <c r="J485" s="81" t="n"/>
      <c r="K485" s="81" t="n"/>
      <c r="L485" s="113" t="n"/>
      <c r="M485" s="81" t="n"/>
      <c r="N485" s="81" t="n"/>
      <c r="O485" s="81" t="n"/>
      <c r="P485" s="81" t="n"/>
      <c r="Q485" s="113" t="n"/>
      <c r="R485" s="113" t="n"/>
      <c r="S485" s="113" t="n"/>
      <c r="T485" s="81" t="n"/>
      <c r="U485" s="81" t="n"/>
      <c r="V485" s="113" t="n"/>
      <c r="W485" s="81" t="n"/>
      <c r="X485" s="81" t="n"/>
      <c r="Y485" s="81" t="n"/>
      <c r="Z485" s="81" t="n"/>
      <c r="AA485" s="81" t="n"/>
      <c r="AB485" s="81" t="n"/>
      <c r="AC485" s="81" t="n"/>
      <c r="AD485" s="81" t="n"/>
      <c r="AE485" s="81" t="n"/>
      <c r="AF485" s="81" t="n"/>
      <c r="AG485" s="81" t="n"/>
      <c r="AH485" s="113" t="n"/>
      <c r="AI485" s="81" t="n"/>
      <c r="AJ485" s="81" t="n"/>
      <c r="AK485" s="113" t="n"/>
      <c r="AL485" s="81" t="n"/>
      <c r="AM485" s="81" t="n"/>
      <c r="AN485" s="81" t="n"/>
      <c r="AO485" s="113" t="n"/>
      <c r="AP485" s="113" t="n"/>
      <c r="AQ485" s="81" t="n"/>
      <c r="AR485" s="113" t="n"/>
      <c r="AS485" s="113" t="n"/>
      <c r="AT485" s="114" t="n"/>
      <c r="AU485" s="81" t="n"/>
      <c r="AV485" s="114" t="n"/>
      <c r="AW485" s="114" t="n"/>
      <c r="AX485" s="81" t="n"/>
      <c r="AY485" s="113" t="n"/>
      <c r="AZ485" s="115">
        <f>IF($B485="","",COUNTIF(References!$A$4:$A$503,$A485))</f>
        <v/>
      </c>
      <c r="BA485" s="115">
        <f>IF($B485="","",(LEN(A485)=0)+(LEN(B485)=0)+(LEN(D485)=0)+(LEN(G485)=0)+(LEN(H485)=0)+(LEN(I485)=0)+(LEN(J485)=0)+(LEN(L485)=0)+(LEN(M485)=0)+(LEN(O485)=0)+(LEN(R485)=0)+(LEN(X485)=0)+(LEN(AI485)=0)+(LEN(AJ485)=0)+(LEN(AQ485)=0)+(LEN(AR485)=0)+(LEN(AT485)=0)+(LEN(AU485)=0)+(LEN(AV485)=0)+(LEN(AX485)=0))</f>
        <v/>
      </c>
      <c r="BB485" s="115">
        <f>IF($B485="","",IF(AND(BA485=0,AZ485&gt;=1),"Complete","Incomplete"))</f>
        <v/>
      </c>
    </row>
    <row r="486" ht="15" customHeight="1" s="62">
      <c r="A486" s="81" t="n"/>
      <c r="B486" s="113" t="n"/>
      <c r="C486" s="81" t="n"/>
      <c r="D486" s="81" t="n"/>
      <c r="E486" s="81" t="n"/>
      <c r="F486" s="81" t="n"/>
      <c r="G486" s="81" t="n"/>
      <c r="H486" s="81" t="n"/>
      <c r="I486" s="81" t="n"/>
      <c r="J486" s="81" t="n"/>
      <c r="K486" s="81" t="n"/>
      <c r="L486" s="113" t="n"/>
      <c r="M486" s="81" t="n"/>
      <c r="N486" s="81" t="n"/>
      <c r="O486" s="81" t="n"/>
      <c r="P486" s="81" t="n"/>
      <c r="Q486" s="113" t="n"/>
      <c r="R486" s="113" t="n"/>
      <c r="S486" s="113" t="n"/>
      <c r="T486" s="81" t="n"/>
      <c r="U486" s="81" t="n"/>
      <c r="V486" s="113" t="n"/>
      <c r="W486" s="81" t="n"/>
      <c r="X486" s="81" t="n"/>
      <c r="Y486" s="81" t="n"/>
      <c r="Z486" s="81" t="n"/>
      <c r="AA486" s="81" t="n"/>
      <c r="AB486" s="81" t="n"/>
      <c r="AC486" s="81" t="n"/>
      <c r="AD486" s="81" t="n"/>
      <c r="AE486" s="81" t="n"/>
      <c r="AF486" s="81" t="n"/>
      <c r="AG486" s="81" t="n"/>
      <c r="AH486" s="113" t="n"/>
      <c r="AI486" s="81" t="n"/>
      <c r="AJ486" s="81" t="n"/>
      <c r="AK486" s="113" t="n"/>
      <c r="AL486" s="81" t="n"/>
      <c r="AM486" s="81" t="n"/>
      <c r="AN486" s="81" t="n"/>
      <c r="AO486" s="113" t="n"/>
      <c r="AP486" s="113" t="n"/>
      <c r="AQ486" s="81" t="n"/>
      <c r="AR486" s="113" t="n"/>
      <c r="AS486" s="113" t="n"/>
      <c r="AT486" s="114" t="n"/>
      <c r="AU486" s="81" t="n"/>
      <c r="AV486" s="114" t="n"/>
      <c r="AW486" s="114" t="n"/>
      <c r="AX486" s="81" t="n"/>
      <c r="AY486" s="113" t="n"/>
      <c r="AZ486" s="115">
        <f>IF($B486="","",COUNTIF(References!$A$4:$A$503,$A486))</f>
        <v/>
      </c>
      <c r="BA486" s="115">
        <f>IF($B486="","",(LEN(A486)=0)+(LEN(B486)=0)+(LEN(D486)=0)+(LEN(G486)=0)+(LEN(H486)=0)+(LEN(I486)=0)+(LEN(J486)=0)+(LEN(L486)=0)+(LEN(M486)=0)+(LEN(O486)=0)+(LEN(R486)=0)+(LEN(X486)=0)+(LEN(AI486)=0)+(LEN(AJ486)=0)+(LEN(AQ486)=0)+(LEN(AR486)=0)+(LEN(AT486)=0)+(LEN(AU486)=0)+(LEN(AV486)=0)+(LEN(AX486)=0))</f>
        <v/>
      </c>
      <c r="BB486" s="115">
        <f>IF($B486="","",IF(AND(BA486=0,AZ486&gt;=1),"Complete","Incomplete"))</f>
        <v/>
      </c>
    </row>
    <row r="487" ht="15" customHeight="1" s="62">
      <c r="A487" s="81" t="n"/>
      <c r="B487" s="113" t="n"/>
      <c r="C487" s="81" t="n"/>
      <c r="D487" s="81" t="n"/>
      <c r="E487" s="81" t="n"/>
      <c r="F487" s="81" t="n"/>
      <c r="G487" s="81" t="n"/>
      <c r="H487" s="81" t="n"/>
      <c r="I487" s="81" t="n"/>
      <c r="J487" s="81" t="n"/>
      <c r="K487" s="81" t="n"/>
      <c r="L487" s="113" t="n"/>
      <c r="M487" s="81" t="n"/>
      <c r="N487" s="81" t="n"/>
      <c r="O487" s="81" t="n"/>
      <c r="P487" s="81" t="n"/>
      <c r="Q487" s="113" t="n"/>
      <c r="R487" s="113" t="n"/>
      <c r="S487" s="113" t="n"/>
      <c r="T487" s="81" t="n"/>
      <c r="U487" s="81" t="n"/>
      <c r="V487" s="113" t="n"/>
      <c r="W487" s="81" t="n"/>
      <c r="X487" s="81" t="n"/>
      <c r="Y487" s="81" t="n"/>
      <c r="Z487" s="81" t="n"/>
      <c r="AA487" s="81" t="n"/>
      <c r="AB487" s="81" t="n"/>
      <c r="AC487" s="81" t="n"/>
      <c r="AD487" s="81" t="n"/>
      <c r="AE487" s="81" t="n"/>
      <c r="AF487" s="81" t="n"/>
      <c r="AG487" s="81" t="n"/>
      <c r="AH487" s="113" t="n"/>
      <c r="AI487" s="81" t="n"/>
      <c r="AJ487" s="81" t="n"/>
      <c r="AK487" s="113" t="n"/>
      <c r="AL487" s="81" t="n"/>
      <c r="AM487" s="81" t="n"/>
      <c r="AN487" s="81" t="n"/>
      <c r="AO487" s="113" t="n"/>
      <c r="AP487" s="113" t="n"/>
      <c r="AQ487" s="81" t="n"/>
      <c r="AR487" s="113" t="n"/>
      <c r="AS487" s="113" t="n"/>
      <c r="AT487" s="114" t="n"/>
      <c r="AU487" s="81" t="n"/>
      <c r="AV487" s="114" t="n"/>
      <c r="AW487" s="114" t="n"/>
      <c r="AX487" s="81" t="n"/>
      <c r="AY487" s="113" t="n"/>
      <c r="AZ487" s="115">
        <f>IF($B487="","",COUNTIF(References!$A$4:$A$503,$A487))</f>
        <v/>
      </c>
      <c r="BA487" s="115">
        <f>IF($B487="","",(LEN(A487)=0)+(LEN(B487)=0)+(LEN(D487)=0)+(LEN(G487)=0)+(LEN(H487)=0)+(LEN(I487)=0)+(LEN(J487)=0)+(LEN(L487)=0)+(LEN(M487)=0)+(LEN(O487)=0)+(LEN(R487)=0)+(LEN(X487)=0)+(LEN(AI487)=0)+(LEN(AJ487)=0)+(LEN(AQ487)=0)+(LEN(AR487)=0)+(LEN(AT487)=0)+(LEN(AU487)=0)+(LEN(AV487)=0)+(LEN(AX487)=0))</f>
        <v/>
      </c>
      <c r="BB487" s="115">
        <f>IF($B487="","",IF(AND(BA487=0,AZ487&gt;=1),"Complete","Incomplete"))</f>
        <v/>
      </c>
    </row>
    <row r="488" ht="15" customHeight="1" s="62">
      <c r="A488" s="81" t="n"/>
      <c r="B488" s="113" t="n"/>
      <c r="C488" s="81" t="n"/>
      <c r="D488" s="81" t="n"/>
      <c r="E488" s="81" t="n"/>
      <c r="F488" s="81" t="n"/>
      <c r="G488" s="81" t="n"/>
      <c r="H488" s="81" t="n"/>
      <c r="I488" s="81" t="n"/>
      <c r="J488" s="81" t="n"/>
      <c r="K488" s="81" t="n"/>
      <c r="L488" s="113" t="n"/>
      <c r="M488" s="81" t="n"/>
      <c r="N488" s="81" t="n"/>
      <c r="O488" s="81" t="n"/>
      <c r="P488" s="81" t="n"/>
      <c r="Q488" s="113" t="n"/>
      <c r="R488" s="113" t="n"/>
      <c r="S488" s="113" t="n"/>
      <c r="T488" s="81" t="n"/>
      <c r="U488" s="81" t="n"/>
      <c r="V488" s="113" t="n"/>
      <c r="W488" s="81" t="n"/>
      <c r="X488" s="81" t="n"/>
      <c r="Y488" s="81" t="n"/>
      <c r="Z488" s="81" t="n"/>
      <c r="AA488" s="81" t="n"/>
      <c r="AB488" s="81" t="n"/>
      <c r="AC488" s="81" t="n"/>
      <c r="AD488" s="81" t="n"/>
      <c r="AE488" s="81" t="n"/>
      <c r="AF488" s="81" t="n"/>
      <c r="AG488" s="81" t="n"/>
      <c r="AH488" s="113" t="n"/>
      <c r="AI488" s="81" t="n"/>
      <c r="AJ488" s="81" t="n"/>
      <c r="AK488" s="113" t="n"/>
      <c r="AL488" s="81" t="n"/>
      <c r="AM488" s="81" t="n"/>
      <c r="AN488" s="81" t="n"/>
      <c r="AO488" s="113" t="n"/>
      <c r="AP488" s="113" t="n"/>
      <c r="AQ488" s="81" t="n"/>
      <c r="AR488" s="113" t="n"/>
      <c r="AS488" s="113" t="n"/>
      <c r="AT488" s="114" t="n"/>
      <c r="AU488" s="81" t="n"/>
      <c r="AV488" s="114" t="n"/>
      <c r="AW488" s="114" t="n"/>
      <c r="AX488" s="81" t="n"/>
      <c r="AY488" s="113" t="n"/>
      <c r="AZ488" s="115">
        <f>IF($B488="","",COUNTIF(References!$A$4:$A$503,$A488))</f>
        <v/>
      </c>
      <c r="BA488" s="115">
        <f>IF($B488="","",(LEN(A488)=0)+(LEN(B488)=0)+(LEN(D488)=0)+(LEN(G488)=0)+(LEN(H488)=0)+(LEN(I488)=0)+(LEN(J488)=0)+(LEN(L488)=0)+(LEN(M488)=0)+(LEN(O488)=0)+(LEN(R488)=0)+(LEN(X488)=0)+(LEN(AI488)=0)+(LEN(AJ488)=0)+(LEN(AQ488)=0)+(LEN(AR488)=0)+(LEN(AT488)=0)+(LEN(AU488)=0)+(LEN(AV488)=0)+(LEN(AX488)=0))</f>
        <v/>
      </c>
      <c r="BB488" s="115">
        <f>IF($B488="","",IF(AND(BA488=0,AZ488&gt;=1),"Complete","Incomplete"))</f>
        <v/>
      </c>
    </row>
    <row r="489" ht="15" customHeight="1" s="62">
      <c r="A489" s="81" t="n"/>
      <c r="B489" s="113" t="n"/>
      <c r="C489" s="81" t="n"/>
      <c r="D489" s="81" t="n"/>
      <c r="E489" s="81" t="n"/>
      <c r="F489" s="81" t="n"/>
      <c r="G489" s="81" t="n"/>
      <c r="H489" s="81" t="n"/>
      <c r="I489" s="81" t="n"/>
      <c r="J489" s="81" t="n"/>
      <c r="K489" s="81" t="n"/>
      <c r="L489" s="113" t="n"/>
      <c r="M489" s="81" t="n"/>
      <c r="N489" s="81" t="n"/>
      <c r="O489" s="81" t="n"/>
      <c r="P489" s="81" t="n"/>
      <c r="Q489" s="113" t="n"/>
      <c r="R489" s="113" t="n"/>
      <c r="S489" s="113" t="n"/>
      <c r="T489" s="81" t="n"/>
      <c r="U489" s="81" t="n"/>
      <c r="V489" s="113" t="n"/>
      <c r="W489" s="81" t="n"/>
      <c r="X489" s="81" t="n"/>
      <c r="Y489" s="81" t="n"/>
      <c r="Z489" s="81" t="n"/>
      <c r="AA489" s="81" t="n"/>
      <c r="AB489" s="81" t="n"/>
      <c r="AC489" s="81" t="n"/>
      <c r="AD489" s="81" t="n"/>
      <c r="AE489" s="81" t="n"/>
      <c r="AF489" s="81" t="n"/>
      <c r="AG489" s="81" t="n"/>
      <c r="AH489" s="113" t="n"/>
      <c r="AI489" s="81" t="n"/>
      <c r="AJ489" s="81" t="n"/>
      <c r="AK489" s="113" t="n"/>
      <c r="AL489" s="81" t="n"/>
      <c r="AM489" s="81" t="n"/>
      <c r="AN489" s="81" t="n"/>
      <c r="AO489" s="113" t="n"/>
      <c r="AP489" s="113" t="n"/>
      <c r="AQ489" s="81" t="n"/>
      <c r="AR489" s="113" t="n"/>
      <c r="AS489" s="113" t="n"/>
      <c r="AT489" s="114" t="n"/>
      <c r="AU489" s="81" t="n"/>
      <c r="AV489" s="114" t="n"/>
      <c r="AW489" s="114" t="n"/>
      <c r="AX489" s="81" t="n"/>
      <c r="AY489" s="113" t="n"/>
      <c r="AZ489" s="115">
        <f>IF($B489="","",COUNTIF(References!$A$4:$A$503,$A489))</f>
        <v/>
      </c>
      <c r="BA489" s="115">
        <f>IF($B489="","",(LEN(A489)=0)+(LEN(B489)=0)+(LEN(D489)=0)+(LEN(G489)=0)+(LEN(H489)=0)+(LEN(I489)=0)+(LEN(J489)=0)+(LEN(L489)=0)+(LEN(M489)=0)+(LEN(O489)=0)+(LEN(R489)=0)+(LEN(X489)=0)+(LEN(AI489)=0)+(LEN(AJ489)=0)+(LEN(AQ489)=0)+(LEN(AR489)=0)+(LEN(AT489)=0)+(LEN(AU489)=0)+(LEN(AV489)=0)+(LEN(AX489)=0))</f>
        <v/>
      </c>
      <c r="BB489" s="115">
        <f>IF($B489="","",IF(AND(BA489=0,AZ489&gt;=1),"Complete","Incomplete"))</f>
        <v/>
      </c>
    </row>
    <row r="490" ht="15" customHeight="1" s="62">
      <c r="A490" s="81" t="n"/>
      <c r="B490" s="113" t="n"/>
      <c r="C490" s="81" t="n"/>
      <c r="D490" s="81" t="n"/>
      <c r="E490" s="81" t="n"/>
      <c r="F490" s="81" t="n"/>
      <c r="G490" s="81" t="n"/>
      <c r="H490" s="81" t="n"/>
      <c r="I490" s="81" t="n"/>
      <c r="J490" s="81" t="n"/>
      <c r="K490" s="81" t="n"/>
      <c r="L490" s="113" t="n"/>
      <c r="M490" s="81" t="n"/>
      <c r="N490" s="81" t="n"/>
      <c r="O490" s="81" t="n"/>
      <c r="P490" s="81" t="n"/>
      <c r="Q490" s="113" t="n"/>
      <c r="R490" s="113" t="n"/>
      <c r="S490" s="113" t="n"/>
      <c r="T490" s="81" t="n"/>
      <c r="U490" s="81" t="n"/>
      <c r="V490" s="113" t="n"/>
      <c r="W490" s="81" t="n"/>
      <c r="X490" s="81" t="n"/>
      <c r="Y490" s="81" t="n"/>
      <c r="Z490" s="81" t="n"/>
      <c r="AA490" s="81" t="n"/>
      <c r="AB490" s="81" t="n"/>
      <c r="AC490" s="81" t="n"/>
      <c r="AD490" s="81" t="n"/>
      <c r="AE490" s="81" t="n"/>
      <c r="AF490" s="81" t="n"/>
      <c r="AG490" s="81" t="n"/>
      <c r="AH490" s="113" t="n"/>
      <c r="AI490" s="81" t="n"/>
      <c r="AJ490" s="81" t="n"/>
      <c r="AK490" s="113" t="n"/>
      <c r="AL490" s="81" t="n"/>
      <c r="AM490" s="81" t="n"/>
      <c r="AN490" s="81" t="n"/>
      <c r="AO490" s="113" t="n"/>
      <c r="AP490" s="113" t="n"/>
      <c r="AQ490" s="81" t="n"/>
      <c r="AR490" s="113" t="n"/>
      <c r="AS490" s="113" t="n"/>
      <c r="AT490" s="114" t="n"/>
      <c r="AU490" s="81" t="n"/>
      <c r="AV490" s="114" t="n"/>
      <c r="AW490" s="114" t="n"/>
      <c r="AX490" s="81" t="n"/>
      <c r="AY490" s="113" t="n"/>
      <c r="AZ490" s="115">
        <f>IF($B490="","",COUNTIF(References!$A$4:$A$503,$A490))</f>
        <v/>
      </c>
      <c r="BA490" s="115">
        <f>IF($B490="","",(LEN(A490)=0)+(LEN(B490)=0)+(LEN(D490)=0)+(LEN(G490)=0)+(LEN(H490)=0)+(LEN(I490)=0)+(LEN(J490)=0)+(LEN(L490)=0)+(LEN(M490)=0)+(LEN(O490)=0)+(LEN(R490)=0)+(LEN(X490)=0)+(LEN(AI490)=0)+(LEN(AJ490)=0)+(LEN(AQ490)=0)+(LEN(AR490)=0)+(LEN(AT490)=0)+(LEN(AU490)=0)+(LEN(AV490)=0)+(LEN(AX490)=0))</f>
        <v/>
      </c>
      <c r="BB490" s="115">
        <f>IF($B490="","",IF(AND(BA490=0,AZ490&gt;=1),"Complete","Incomplete"))</f>
        <v/>
      </c>
    </row>
    <row r="491" ht="15" customHeight="1" s="62">
      <c r="A491" s="81" t="n"/>
      <c r="B491" s="113" t="n"/>
      <c r="C491" s="81" t="n"/>
      <c r="D491" s="81" t="n"/>
      <c r="E491" s="81" t="n"/>
      <c r="F491" s="81" t="n"/>
      <c r="G491" s="81" t="n"/>
      <c r="H491" s="81" t="n"/>
      <c r="I491" s="81" t="n"/>
      <c r="J491" s="81" t="n"/>
      <c r="K491" s="81" t="n"/>
      <c r="L491" s="113" t="n"/>
      <c r="M491" s="81" t="n"/>
      <c r="N491" s="81" t="n"/>
      <c r="O491" s="81" t="n"/>
      <c r="P491" s="81" t="n"/>
      <c r="Q491" s="113" t="n"/>
      <c r="R491" s="113" t="n"/>
      <c r="S491" s="113" t="n"/>
      <c r="T491" s="81" t="n"/>
      <c r="U491" s="81" t="n"/>
      <c r="V491" s="113" t="n"/>
      <c r="W491" s="81" t="n"/>
      <c r="X491" s="81" t="n"/>
      <c r="Y491" s="81" t="n"/>
      <c r="Z491" s="81" t="n"/>
      <c r="AA491" s="81" t="n"/>
      <c r="AB491" s="81" t="n"/>
      <c r="AC491" s="81" t="n"/>
      <c r="AD491" s="81" t="n"/>
      <c r="AE491" s="81" t="n"/>
      <c r="AF491" s="81" t="n"/>
      <c r="AG491" s="81" t="n"/>
      <c r="AH491" s="113" t="n"/>
      <c r="AI491" s="81" t="n"/>
      <c r="AJ491" s="81" t="n"/>
      <c r="AK491" s="113" t="n"/>
      <c r="AL491" s="81" t="n"/>
      <c r="AM491" s="81" t="n"/>
      <c r="AN491" s="81" t="n"/>
      <c r="AO491" s="113" t="n"/>
      <c r="AP491" s="113" t="n"/>
      <c r="AQ491" s="81" t="n"/>
      <c r="AR491" s="113" t="n"/>
      <c r="AS491" s="113" t="n"/>
      <c r="AT491" s="114" t="n"/>
      <c r="AU491" s="81" t="n"/>
      <c r="AV491" s="114" t="n"/>
      <c r="AW491" s="114" t="n"/>
      <c r="AX491" s="81" t="n"/>
      <c r="AY491" s="113" t="n"/>
      <c r="AZ491" s="115">
        <f>IF($B491="","",COUNTIF(References!$A$4:$A$503,$A491))</f>
        <v/>
      </c>
      <c r="BA491" s="115">
        <f>IF($B491="","",(LEN(A491)=0)+(LEN(B491)=0)+(LEN(D491)=0)+(LEN(G491)=0)+(LEN(H491)=0)+(LEN(I491)=0)+(LEN(J491)=0)+(LEN(L491)=0)+(LEN(M491)=0)+(LEN(O491)=0)+(LEN(R491)=0)+(LEN(X491)=0)+(LEN(AI491)=0)+(LEN(AJ491)=0)+(LEN(AQ491)=0)+(LEN(AR491)=0)+(LEN(AT491)=0)+(LEN(AU491)=0)+(LEN(AV491)=0)+(LEN(AX491)=0))</f>
        <v/>
      </c>
      <c r="BB491" s="115">
        <f>IF($B491="","",IF(AND(BA491=0,AZ491&gt;=1),"Complete","Incomplete"))</f>
        <v/>
      </c>
    </row>
    <row r="492" ht="15" customHeight="1" s="62">
      <c r="A492" s="81" t="n"/>
      <c r="B492" s="113" t="n"/>
      <c r="C492" s="81" t="n"/>
      <c r="D492" s="81" t="n"/>
      <c r="E492" s="81" t="n"/>
      <c r="F492" s="81" t="n"/>
      <c r="G492" s="81" t="n"/>
      <c r="H492" s="81" t="n"/>
      <c r="I492" s="81" t="n"/>
      <c r="J492" s="81" t="n"/>
      <c r="K492" s="81" t="n"/>
      <c r="L492" s="113" t="n"/>
      <c r="M492" s="81" t="n"/>
      <c r="N492" s="81" t="n"/>
      <c r="O492" s="81" t="n"/>
      <c r="P492" s="81" t="n"/>
      <c r="Q492" s="113" t="n"/>
      <c r="R492" s="113" t="n"/>
      <c r="S492" s="113" t="n"/>
      <c r="T492" s="81" t="n"/>
      <c r="U492" s="81" t="n"/>
      <c r="V492" s="113" t="n"/>
      <c r="W492" s="81" t="n"/>
      <c r="X492" s="81" t="n"/>
      <c r="Y492" s="81" t="n"/>
      <c r="Z492" s="81" t="n"/>
      <c r="AA492" s="81" t="n"/>
      <c r="AB492" s="81" t="n"/>
      <c r="AC492" s="81" t="n"/>
      <c r="AD492" s="81" t="n"/>
      <c r="AE492" s="81" t="n"/>
      <c r="AF492" s="81" t="n"/>
      <c r="AG492" s="81" t="n"/>
      <c r="AH492" s="113" t="n"/>
      <c r="AI492" s="81" t="n"/>
      <c r="AJ492" s="81" t="n"/>
      <c r="AK492" s="113" t="n"/>
      <c r="AL492" s="81" t="n"/>
      <c r="AM492" s="81" t="n"/>
      <c r="AN492" s="81" t="n"/>
      <c r="AO492" s="113" t="n"/>
      <c r="AP492" s="113" t="n"/>
      <c r="AQ492" s="81" t="n"/>
      <c r="AR492" s="113" t="n"/>
      <c r="AS492" s="113" t="n"/>
      <c r="AT492" s="114" t="n"/>
      <c r="AU492" s="81" t="n"/>
      <c r="AV492" s="114" t="n"/>
      <c r="AW492" s="114" t="n"/>
      <c r="AX492" s="81" t="n"/>
      <c r="AY492" s="113" t="n"/>
      <c r="AZ492" s="115">
        <f>IF($B492="","",COUNTIF(References!$A$4:$A$503,$A492))</f>
        <v/>
      </c>
      <c r="BA492" s="115">
        <f>IF($B492="","",(LEN(A492)=0)+(LEN(B492)=0)+(LEN(D492)=0)+(LEN(G492)=0)+(LEN(H492)=0)+(LEN(I492)=0)+(LEN(J492)=0)+(LEN(L492)=0)+(LEN(M492)=0)+(LEN(O492)=0)+(LEN(R492)=0)+(LEN(X492)=0)+(LEN(AI492)=0)+(LEN(AJ492)=0)+(LEN(AQ492)=0)+(LEN(AR492)=0)+(LEN(AT492)=0)+(LEN(AU492)=0)+(LEN(AV492)=0)+(LEN(AX492)=0))</f>
        <v/>
      </c>
      <c r="BB492" s="115">
        <f>IF($B492="","",IF(AND(BA492=0,AZ492&gt;=1),"Complete","Incomplete"))</f>
        <v/>
      </c>
    </row>
    <row r="493" ht="15" customHeight="1" s="62">
      <c r="A493" s="81" t="n"/>
      <c r="B493" s="113" t="n"/>
      <c r="C493" s="81" t="n"/>
      <c r="D493" s="81" t="n"/>
      <c r="E493" s="81" t="n"/>
      <c r="F493" s="81" t="n"/>
      <c r="G493" s="81" t="n"/>
      <c r="H493" s="81" t="n"/>
      <c r="I493" s="81" t="n"/>
      <c r="J493" s="81" t="n"/>
      <c r="K493" s="81" t="n"/>
      <c r="L493" s="113" t="n"/>
      <c r="M493" s="81" t="n"/>
      <c r="N493" s="81" t="n"/>
      <c r="O493" s="81" t="n"/>
      <c r="P493" s="81" t="n"/>
      <c r="Q493" s="113" t="n"/>
      <c r="R493" s="113" t="n"/>
      <c r="S493" s="113" t="n"/>
      <c r="T493" s="81" t="n"/>
      <c r="U493" s="81" t="n"/>
      <c r="V493" s="113" t="n"/>
      <c r="W493" s="81" t="n"/>
      <c r="X493" s="81" t="n"/>
      <c r="Y493" s="81" t="n"/>
      <c r="Z493" s="81" t="n"/>
      <c r="AA493" s="81" t="n"/>
      <c r="AB493" s="81" t="n"/>
      <c r="AC493" s="81" t="n"/>
      <c r="AD493" s="81" t="n"/>
      <c r="AE493" s="81" t="n"/>
      <c r="AF493" s="81" t="n"/>
      <c r="AG493" s="81" t="n"/>
      <c r="AH493" s="113" t="n"/>
      <c r="AI493" s="81" t="n"/>
      <c r="AJ493" s="81" t="n"/>
      <c r="AK493" s="113" t="n"/>
      <c r="AL493" s="81" t="n"/>
      <c r="AM493" s="81" t="n"/>
      <c r="AN493" s="81" t="n"/>
      <c r="AO493" s="113" t="n"/>
      <c r="AP493" s="113" t="n"/>
      <c r="AQ493" s="81" t="n"/>
      <c r="AR493" s="113" t="n"/>
      <c r="AS493" s="113" t="n"/>
      <c r="AT493" s="114" t="n"/>
      <c r="AU493" s="81" t="n"/>
      <c r="AV493" s="114" t="n"/>
      <c r="AW493" s="114" t="n"/>
      <c r="AX493" s="81" t="n"/>
      <c r="AY493" s="113" t="n"/>
      <c r="AZ493" s="115">
        <f>IF($B493="","",COUNTIF(References!$A$4:$A$503,$A493))</f>
        <v/>
      </c>
      <c r="BA493" s="115">
        <f>IF($B493="","",(LEN(A493)=0)+(LEN(B493)=0)+(LEN(D493)=0)+(LEN(G493)=0)+(LEN(H493)=0)+(LEN(I493)=0)+(LEN(J493)=0)+(LEN(L493)=0)+(LEN(M493)=0)+(LEN(O493)=0)+(LEN(R493)=0)+(LEN(X493)=0)+(LEN(AI493)=0)+(LEN(AJ493)=0)+(LEN(AQ493)=0)+(LEN(AR493)=0)+(LEN(AT493)=0)+(LEN(AU493)=0)+(LEN(AV493)=0)+(LEN(AX493)=0))</f>
        <v/>
      </c>
      <c r="BB493" s="115">
        <f>IF($B493="","",IF(AND(BA493=0,AZ493&gt;=1),"Complete","Incomplete"))</f>
        <v/>
      </c>
    </row>
    <row r="494" ht="15" customHeight="1" s="62">
      <c r="A494" s="81" t="n"/>
      <c r="B494" s="113" t="n"/>
      <c r="C494" s="81" t="n"/>
      <c r="D494" s="81" t="n"/>
      <c r="E494" s="81" t="n"/>
      <c r="F494" s="81" t="n"/>
      <c r="G494" s="81" t="n"/>
      <c r="H494" s="81" t="n"/>
      <c r="I494" s="81" t="n"/>
      <c r="J494" s="81" t="n"/>
      <c r="K494" s="81" t="n"/>
      <c r="L494" s="113" t="n"/>
      <c r="M494" s="81" t="n"/>
      <c r="N494" s="81" t="n"/>
      <c r="O494" s="81" t="n"/>
      <c r="P494" s="81" t="n"/>
      <c r="Q494" s="113" t="n"/>
      <c r="R494" s="113" t="n"/>
      <c r="S494" s="113" t="n"/>
      <c r="T494" s="81" t="n"/>
      <c r="U494" s="81" t="n"/>
      <c r="V494" s="113" t="n"/>
      <c r="W494" s="81" t="n"/>
      <c r="X494" s="81" t="n"/>
      <c r="Y494" s="81" t="n"/>
      <c r="Z494" s="81" t="n"/>
      <c r="AA494" s="81" t="n"/>
      <c r="AB494" s="81" t="n"/>
      <c r="AC494" s="81" t="n"/>
      <c r="AD494" s="81" t="n"/>
      <c r="AE494" s="81" t="n"/>
      <c r="AF494" s="81" t="n"/>
      <c r="AG494" s="81" t="n"/>
      <c r="AH494" s="113" t="n"/>
      <c r="AI494" s="81" t="n"/>
      <c r="AJ494" s="81" t="n"/>
      <c r="AK494" s="113" t="n"/>
      <c r="AL494" s="81" t="n"/>
      <c r="AM494" s="81" t="n"/>
      <c r="AN494" s="81" t="n"/>
      <c r="AO494" s="113" t="n"/>
      <c r="AP494" s="113" t="n"/>
      <c r="AQ494" s="81" t="n"/>
      <c r="AR494" s="113" t="n"/>
      <c r="AS494" s="113" t="n"/>
      <c r="AT494" s="114" t="n"/>
      <c r="AU494" s="81" t="n"/>
      <c r="AV494" s="114" t="n"/>
      <c r="AW494" s="114" t="n"/>
      <c r="AX494" s="81" t="n"/>
      <c r="AY494" s="113" t="n"/>
      <c r="AZ494" s="115">
        <f>IF($B494="","",COUNTIF(References!$A$4:$A$503,$A494))</f>
        <v/>
      </c>
      <c r="BA494" s="115">
        <f>IF($B494="","",(LEN(A494)=0)+(LEN(B494)=0)+(LEN(D494)=0)+(LEN(G494)=0)+(LEN(H494)=0)+(LEN(I494)=0)+(LEN(J494)=0)+(LEN(L494)=0)+(LEN(M494)=0)+(LEN(O494)=0)+(LEN(R494)=0)+(LEN(X494)=0)+(LEN(AI494)=0)+(LEN(AJ494)=0)+(LEN(AQ494)=0)+(LEN(AR494)=0)+(LEN(AT494)=0)+(LEN(AU494)=0)+(LEN(AV494)=0)+(LEN(AX494)=0))</f>
        <v/>
      </c>
      <c r="BB494" s="115">
        <f>IF($B494="","",IF(AND(BA494=0,AZ494&gt;=1),"Complete","Incomplete"))</f>
        <v/>
      </c>
    </row>
    <row r="495" ht="15" customHeight="1" s="62">
      <c r="A495" s="81" t="n"/>
      <c r="B495" s="113" t="n"/>
      <c r="C495" s="81" t="n"/>
      <c r="D495" s="81" t="n"/>
      <c r="E495" s="81" t="n"/>
      <c r="F495" s="81" t="n"/>
      <c r="G495" s="81" t="n"/>
      <c r="H495" s="81" t="n"/>
      <c r="I495" s="81" t="n"/>
      <c r="J495" s="81" t="n"/>
      <c r="K495" s="81" t="n"/>
      <c r="L495" s="113" t="n"/>
      <c r="M495" s="81" t="n"/>
      <c r="N495" s="81" t="n"/>
      <c r="O495" s="81" t="n"/>
      <c r="P495" s="81" t="n"/>
      <c r="Q495" s="113" t="n"/>
      <c r="R495" s="113" t="n"/>
      <c r="S495" s="113" t="n"/>
      <c r="T495" s="81" t="n"/>
      <c r="U495" s="81" t="n"/>
      <c r="V495" s="113" t="n"/>
      <c r="W495" s="81" t="n"/>
      <c r="X495" s="81" t="n"/>
      <c r="Y495" s="81" t="n"/>
      <c r="Z495" s="81" t="n"/>
      <c r="AA495" s="81" t="n"/>
      <c r="AB495" s="81" t="n"/>
      <c r="AC495" s="81" t="n"/>
      <c r="AD495" s="81" t="n"/>
      <c r="AE495" s="81" t="n"/>
      <c r="AF495" s="81" t="n"/>
      <c r="AG495" s="81" t="n"/>
      <c r="AH495" s="113" t="n"/>
      <c r="AI495" s="81" t="n"/>
      <c r="AJ495" s="81" t="n"/>
      <c r="AK495" s="113" t="n"/>
      <c r="AL495" s="81" t="n"/>
      <c r="AM495" s="81" t="n"/>
      <c r="AN495" s="81" t="n"/>
      <c r="AO495" s="113" t="n"/>
      <c r="AP495" s="113" t="n"/>
      <c r="AQ495" s="81" t="n"/>
      <c r="AR495" s="113" t="n"/>
      <c r="AS495" s="113" t="n"/>
      <c r="AT495" s="114" t="n"/>
      <c r="AU495" s="81" t="n"/>
      <c r="AV495" s="114" t="n"/>
      <c r="AW495" s="114" t="n"/>
      <c r="AX495" s="81" t="n"/>
      <c r="AY495" s="113" t="n"/>
      <c r="AZ495" s="115">
        <f>IF($B495="","",COUNTIF(References!$A$4:$A$503,$A495))</f>
        <v/>
      </c>
      <c r="BA495" s="115">
        <f>IF($B495="","",(LEN(A495)=0)+(LEN(B495)=0)+(LEN(D495)=0)+(LEN(G495)=0)+(LEN(H495)=0)+(LEN(I495)=0)+(LEN(J495)=0)+(LEN(L495)=0)+(LEN(M495)=0)+(LEN(O495)=0)+(LEN(R495)=0)+(LEN(X495)=0)+(LEN(AI495)=0)+(LEN(AJ495)=0)+(LEN(AQ495)=0)+(LEN(AR495)=0)+(LEN(AT495)=0)+(LEN(AU495)=0)+(LEN(AV495)=0)+(LEN(AX495)=0))</f>
        <v/>
      </c>
      <c r="BB495" s="115">
        <f>IF($B495="","",IF(AND(BA495=0,AZ495&gt;=1),"Complete","Incomplete"))</f>
        <v/>
      </c>
    </row>
    <row r="496" ht="15" customHeight="1" s="62">
      <c r="A496" s="81" t="n"/>
      <c r="B496" s="113" t="n"/>
      <c r="C496" s="81" t="n"/>
      <c r="D496" s="81" t="n"/>
      <c r="E496" s="81" t="n"/>
      <c r="F496" s="81" t="n"/>
      <c r="G496" s="81" t="n"/>
      <c r="H496" s="81" t="n"/>
      <c r="I496" s="81" t="n"/>
      <c r="J496" s="81" t="n"/>
      <c r="K496" s="81" t="n"/>
      <c r="L496" s="113" t="n"/>
      <c r="M496" s="81" t="n"/>
      <c r="N496" s="81" t="n"/>
      <c r="O496" s="81" t="n"/>
      <c r="P496" s="81" t="n"/>
      <c r="Q496" s="113" t="n"/>
      <c r="R496" s="113" t="n"/>
      <c r="S496" s="113" t="n"/>
      <c r="T496" s="81" t="n"/>
      <c r="U496" s="81" t="n"/>
      <c r="V496" s="113" t="n"/>
      <c r="W496" s="81" t="n"/>
      <c r="X496" s="81" t="n"/>
      <c r="Y496" s="81" t="n"/>
      <c r="Z496" s="81" t="n"/>
      <c r="AA496" s="81" t="n"/>
      <c r="AB496" s="81" t="n"/>
      <c r="AC496" s="81" t="n"/>
      <c r="AD496" s="81" t="n"/>
      <c r="AE496" s="81" t="n"/>
      <c r="AF496" s="81" t="n"/>
      <c r="AG496" s="81" t="n"/>
      <c r="AH496" s="113" t="n"/>
      <c r="AI496" s="81" t="n"/>
      <c r="AJ496" s="81" t="n"/>
      <c r="AK496" s="113" t="n"/>
      <c r="AL496" s="81" t="n"/>
      <c r="AM496" s="81" t="n"/>
      <c r="AN496" s="81" t="n"/>
      <c r="AO496" s="113" t="n"/>
      <c r="AP496" s="113" t="n"/>
      <c r="AQ496" s="81" t="n"/>
      <c r="AR496" s="113" t="n"/>
      <c r="AS496" s="113" t="n"/>
      <c r="AT496" s="114" t="n"/>
      <c r="AU496" s="81" t="n"/>
      <c r="AV496" s="114" t="n"/>
      <c r="AW496" s="114" t="n"/>
      <c r="AX496" s="81" t="n"/>
      <c r="AY496" s="113" t="n"/>
      <c r="AZ496" s="115">
        <f>IF($B496="","",COUNTIF(References!$A$4:$A$503,$A496))</f>
        <v/>
      </c>
      <c r="BA496" s="115">
        <f>IF($B496="","",(LEN(A496)=0)+(LEN(B496)=0)+(LEN(D496)=0)+(LEN(G496)=0)+(LEN(H496)=0)+(LEN(I496)=0)+(LEN(J496)=0)+(LEN(L496)=0)+(LEN(M496)=0)+(LEN(O496)=0)+(LEN(R496)=0)+(LEN(X496)=0)+(LEN(AI496)=0)+(LEN(AJ496)=0)+(LEN(AQ496)=0)+(LEN(AR496)=0)+(LEN(AT496)=0)+(LEN(AU496)=0)+(LEN(AV496)=0)+(LEN(AX496)=0))</f>
        <v/>
      </c>
      <c r="BB496" s="115">
        <f>IF($B496="","",IF(AND(BA496=0,AZ496&gt;=1),"Complete","Incomplete"))</f>
        <v/>
      </c>
    </row>
    <row r="497" ht="15" customHeight="1" s="62">
      <c r="A497" s="81" t="n"/>
      <c r="B497" s="113" t="n"/>
      <c r="C497" s="81" t="n"/>
      <c r="D497" s="81" t="n"/>
      <c r="E497" s="81" t="n"/>
      <c r="F497" s="81" t="n"/>
      <c r="G497" s="81" t="n"/>
      <c r="H497" s="81" t="n"/>
      <c r="I497" s="81" t="n"/>
      <c r="J497" s="81" t="n"/>
      <c r="K497" s="81" t="n"/>
      <c r="L497" s="113" t="n"/>
      <c r="M497" s="81" t="n"/>
      <c r="N497" s="81" t="n"/>
      <c r="O497" s="81" t="n"/>
      <c r="P497" s="81" t="n"/>
      <c r="Q497" s="113" t="n"/>
      <c r="R497" s="113" t="n"/>
      <c r="S497" s="113" t="n"/>
      <c r="T497" s="81" t="n"/>
      <c r="U497" s="81" t="n"/>
      <c r="V497" s="113" t="n"/>
      <c r="W497" s="81" t="n"/>
      <c r="X497" s="81" t="n"/>
      <c r="Y497" s="81" t="n"/>
      <c r="Z497" s="81" t="n"/>
      <c r="AA497" s="81" t="n"/>
      <c r="AB497" s="81" t="n"/>
      <c r="AC497" s="81" t="n"/>
      <c r="AD497" s="81" t="n"/>
      <c r="AE497" s="81" t="n"/>
      <c r="AF497" s="81" t="n"/>
      <c r="AG497" s="81" t="n"/>
      <c r="AH497" s="113" t="n"/>
      <c r="AI497" s="81" t="n"/>
      <c r="AJ497" s="81" t="n"/>
      <c r="AK497" s="113" t="n"/>
      <c r="AL497" s="81" t="n"/>
      <c r="AM497" s="81" t="n"/>
      <c r="AN497" s="81" t="n"/>
      <c r="AO497" s="113" t="n"/>
      <c r="AP497" s="113" t="n"/>
      <c r="AQ497" s="81" t="n"/>
      <c r="AR497" s="113" t="n"/>
      <c r="AS497" s="113" t="n"/>
      <c r="AT497" s="114" t="n"/>
      <c r="AU497" s="81" t="n"/>
      <c r="AV497" s="114" t="n"/>
      <c r="AW497" s="114" t="n"/>
      <c r="AX497" s="81" t="n"/>
      <c r="AY497" s="113" t="n"/>
      <c r="AZ497" s="115">
        <f>IF($B497="","",COUNTIF(References!$A$4:$A$503,$A497))</f>
        <v/>
      </c>
      <c r="BA497" s="115">
        <f>IF($B497="","",(LEN(A497)=0)+(LEN(B497)=0)+(LEN(D497)=0)+(LEN(G497)=0)+(LEN(H497)=0)+(LEN(I497)=0)+(LEN(J497)=0)+(LEN(L497)=0)+(LEN(M497)=0)+(LEN(O497)=0)+(LEN(R497)=0)+(LEN(X497)=0)+(LEN(AI497)=0)+(LEN(AJ497)=0)+(LEN(AQ497)=0)+(LEN(AR497)=0)+(LEN(AT497)=0)+(LEN(AU497)=0)+(LEN(AV497)=0)+(LEN(AX497)=0))</f>
        <v/>
      </c>
      <c r="BB497" s="115">
        <f>IF($B497="","",IF(AND(BA497=0,AZ497&gt;=1),"Complete","Incomplete"))</f>
        <v/>
      </c>
    </row>
    <row r="498" ht="15" customHeight="1" s="62">
      <c r="A498" s="81" t="n"/>
      <c r="B498" s="113" t="n"/>
      <c r="C498" s="81" t="n"/>
      <c r="D498" s="81" t="n"/>
      <c r="E498" s="81" t="n"/>
      <c r="F498" s="81" t="n"/>
      <c r="G498" s="81" t="n"/>
      <c r="H498" s="81" t="n"/>
      <c r="I498" s="81" t="n"/>
      <c r="J498" s="81" t="n"/>
      <c r="K498" s="81" t="n"/>
      <c r="L498" s="113" t="n"/>
      <c r="M498" s="81" t="n"/>
      <c r="N498" s="81" t="n"/>
      <c r="O498" s="81" t="n"/>
      <c r="P498" s="81" t="n"/>
      <c r="Q498" s="113" t="n"/>
      <c r="R498" s="113" t="n"/>
      <c r="S498" s="113" t="n"/>
      <c r="T498" s="81" t="n"/>
      <c r="U498" s="81" t="n"/>
      <c r="V498" s="113" t="n"/>
      <c r="W498" s="81" t="n"/>
      <c r="X498" s="81" t="n"/>
      <c r="Y498" s="81" t="n"/>
      <c r="Z498" s="81" t="n"/>
      <c r="AA498" s="81" t="n"/>
      <c r="AB498" s="81" t="n"/>
      <c r="AC498" s="81" t="n"/>
      <c r="AD498" s="81" t="n"/>
      <c r="AE498" s="81" t="n"/>
      <c r="AF498" s="81" t="n"/>
      <c r="AG498" s="81" t="n"/>
      <c r="AH498" s="113" t="n"/>
      <c r="AI498" s="81" t="n"/>
      <c r="AJ498" s="81" t="n"/>
      <c r="AK498" s="113" t="n"/>
      <c r="AL498" s="81" t="n"/>
      <c r="AM498" s="81" t="n"/>
      <c r="AN498" s="81" t="n"/>
      <c r="AO498" s="113" t="n"/>
      <c r="AP498" s="113" t="n"/>
      <c r="AQ498" s="81" t="n"/>
      <c r="AR498" s="113" t="n"/>
      <c r="AS498" s="113" t="n"/>
      <c r="AT498" s="114" t="n"/>
      <c r="AU498" s="81" t="n"/>
      <c r="AV498" s="114" t="n"/>
      <c r="AW498" s="114" t="n"/>
      <c r="AX498" s="81" t="n"/>
      <c r="AY498" s="113" t="n"/>
      <c r="AZ498" s="115">
        <f>IF($B498="","",COUNTIF(References!$A$4:$A$503,$A498))</f>
        <v/>
      </c>
      <c r="BA498" s="115">
        <f>IF($B498="","",(LEN(A498)=0)+(LEN(B498)=0)+(LEN(D498)=0)+(LEN(G498)=0)+(LEN(H498)=0)+(LEN(I498)=0)+(LEN(J498)=0)+(LEN(L498)=0)+(LEN(M498)=0)+(LEN(O498)=0)+(LEN(R498)=0)+(LEN(X498)=0)+(LEN(AI498)=0)+(LEN(AJ498)=0)+(LEN(AQ498)=0)+(LEN(AR498)=0)+(LEN(AT498)=0)+(LEN(AU498)=0)+(LEN(AV498)=0)+(LEN(AX498)=0))</f>
        <v/>
      </c>
      <c r="BB498" s="115">
        <f>IF($B498="","",IF(AND(BA498=0,AZ498&gt;=1),"Complete","Incomplete"))</f>
        <v/>
      </c>
    </row>
    <row r="499" ht="15" customHeight="1" s="62">
      <c r="A499" s="81" t="n"/>
      <c r="B499" s="113" t="n"/>
      <c r="C499" s="81" t="n"/>
      <c r="D499" s="81" t="n"/>
      <c r="E499" s="81" t="n"/>
      <c r="F499" s="81" t="n"/>
      <c r="G499" s="81" t="n"/>
      <c r="H499" s="81" t="n"/>
      <c r="I499" s="81" t="n"/>
      <c r="J499" s="81" t="n"/>
      <c r="K499" s="81" t="n"/>
      <c r="L499" s="113" t="n"/>
      <c r="M499" s="81" t="n"/>
      <c r="N499" s="81" t="n"/>
      <c r="O499" s="81" t="n"/>
      <c r="P499" s="81" t="n"/>
      <c r="Q499" s="113" t="n"/>
      <c r="R499" s="113" t="n"/>
      <c r="S499" s="113" t="n"/>
      <c r="T499" s="81" t="n"/>
      <c r="U499" s="81" t="n"/>
      <c r="V499" s="113" t="n"/>
      <c r="W499" s="81" t="n"/>
      <c r="X499" s="81" t="n"/>
      <c r="Y499" s="81" t="n"/>
      <c r="Z499" s="81" t="n"/>
      <c r="AA499" s="81" t="n"/>
      <c r="AB499" s="81" t="n"/>
      <c r="AC499" s="81" t="n"/>
      <c r="AD499" s="81" t="n"/>
      <c r="AE499" s="81" t="n"/>
      <c r="AF499" s="81" t="n"/>
      <c r="AG499" s="81" t="n"/>
      <c r="AH499" s="113" t="n"/>
      <c r="AI499" s="81" t="n"/>
      <c r="AJ499" s="81" t="n"/>
      <c r="AK499" s="113" t="n"/>
      <c r="AL499" s="81" t="n"/>
      <c r="AM499" s="81" t="n"/>
      <c r="AN499" s="81" t="n"/>
      <c r="AO499" s="113" t="n"/>
      <c r="AP499" s="113" t="n"/>
      <c r="AQ499" s="81" t="n"/>
      <c r="AR499" s="113" t="n"/>
      <c r="AS499" s="113" t="n"/>
      <c r="AT499" s="114" t="n"/>
      <c r="AU499" s="81" t="n"/>
      <c r="AV499" s="114" t="n"/>
      <c r="AW499" s="114" t="n"/>
      <c r="AX499" s="81" t="n"/>
      <c r="AY499" s="113" t="n"/>
      <c r="AZ499" s="115">
        <f>IF($B499="","",COUNTIF(References!$A$4:$A$503,$A499))</f>
        <v/>
      </c>
      <c r="BA499" s="115">
        <f>IF($B499="","",(LEN(A499)=0)+(LEN(B499)=0)+(LEN(D499)=0)+(LEN(G499)=0)+(LEN(H499)=0)+(LEN(I499)=0)+(LEN(J499)=0)+(LEN(L499)=0)+(LEN(M499)=0)+(LEN(O499)=0)+(LEN(R499)=0)+(LEN(X499)=0)+(LEN(AI499)=0)+(LEN(AJ499)=0)+(LEN(AQ499)=0)+(LEN(AR499)=0)+(LEN(AT499)=0)+(LEN(AU499)=0)+(LEN(AV499)=0)+(LEN(AX499)=0))</f>
        <v/>
      </c>
      <c r="BB499" s="115">
        <f>IF($B499="","",IF(AND(BA499=0,AZ499&gt;=1),"Complete","Incomplete"))</f>
        <v/>
      </c>
    </row>
    <row r="500" ht="15" customHeight="1" s="62">
      <c r="A500" s="81" t="n"/>
      <c r="B500" s="113" t="n"/>
      <c r="C500" s="81" t="n"/>
      <c r="D500" s="81" t="n"/>
      <c r="E500" s="81" t="n"/>
      <c r="F500" s="81" t="n"/>
      <c r="G500" s="81" t="n"/>
      <c r="H500" s="81" t="n"/>
      <c r="I500" s="81" t="n"/>
      <c r="J500" s="81" t="n"/>
      <c r="K500" s="81" t="n"/>
      <c r="L500" s="113" t="n"/>
      <c r="M500" s="81" t="n"/>
      <c r="N500" s="81" t="n"/>
      <c r="O500" s="81" t="n"/>
      <c r="P500" s="81" t="n"/>
      <c r="Q500" s="113" t="n"/>
      <c r="R500" s="113" t="n"/>
      <c r="S500" s="113" t="n"/>
      <c r="T500" s="81" t="n"/>
      <c r="U500" s="81" t="n"/>
      <c r="V500" s="113" t="n"/>
      <c r="W500" s="81" t="n"/>
      <c r="X500" s="81" t="n"/>
      <c r="Y500" s="81" t="n"/>
      <c r="Z500" s="81" t="n"/>
      <c r="AA500" s="81" t="n"/>
      <c r="AB500" s="81" t="n"/>
      <c r="AC500" s="81" t="n"/>
      <c r="AD500" s="81" t="n"/>
      <c r="AE500" s="81" t="n"/>
      <c r="AF500" s="81" t="n"/>
      <c r="AG500" s="81" t="n"/>
      <c r="AH500" s="113" t="n"/>
      <c r="AI500" s="81" t="n"/>
      <c r="AJ500" s="81" t="n"/>
      <c r="AK500" s="113" t="n"/>
      <c r="AL500" s="81" t="n"/>
      <c r="AM500" s="81" t="n"/>
      <c r="AN500" s="81" t="n"/>
      <c r="AO500" s="113" t="n"/>
      <c r="AP500" s="113" t="n"/>
      <c r="AQ500" s="81" t="n"/>
      <c r="AR500" s="113" t="n"/>
      <c r="AS500" s="113" t="n"/>
      <c r="AT500" s="114" t="n"/>
      <c r="AU500" s="81" t="n"/>
      <c r="AV500" s="114" t="n"/>
      <c r="AW500" s="114" t="n"/>
      <c r="AX500" s="81" t="n"/>
      <c r="AY500" s="113" t="n"/>
      <c r="AZ500" s="115">
        <f>IF($B500="","",COUNTIF(References!$A$4:$A$503,$A500))</f>
        <v/>
      </c>
      <c r="BA500" s="115">
        <f>IF($B500="","",(LEN(A500)=0)+(LEN(B500)=0)+(LEN(D500)=0)+(LEN(G500)=0)+(LEN(H500)=0)+(LEN(I500)=0)+(LEN(J500)=0)+(LEN(L500)=0)+(LEN(M500)=0)+(LEN(O500)=0)+(LEN(R500)=0)+(LEN(X500)=0)+(LEN(AI500)=0)+(LEN(AJ500)=0)+(LEN(AQ500)=0)+(LEN(AR500)=0)+(LEN(AT500)=0)+(LEN(AU500)=0)+(LEN(AV500)=0)+(LEN(AX500)=0))</f>
        <v/>
      </c>
      <c r="BB500" s="115">
        <f>IF($B500="","",IF(AND(BA500=0,AZ500&gt;=1),"Complete","Incomplete"))</f>
        <v/>
      </c>
    </row>
    <row r="501" ht="15" customHeight="1" s="62">
      <c r="A501" s="81" t="n"/>
      <c r="B501" s="113" t="n"/>
      <c r="C501" s="81" t="n"/>
      <c r="D501" s="81" t="n"/>
      <c r="E501" s="81" t="n"/>
      <c r="F501" s="81" t="n"/>
      <c r="G501" s="81" t="n"/>
      <c r="H501" s="81" t="n"/>
      <c r="I501" s="81" t="n"/>
      <c r="J501" s="81" t="n"/>
      <c r="K501" s="81" t="n"/>
      <c r="L501" s="113" t="n"/>
      <c r="M501" s="81" t="n"/>
      <c r="N501" s="81" t="n"/>
      <c r="O501" s="81" t="n"/>
      <c r="P501" s="81" t="n"/>
      <c r="Q501" s="113" t="n"/>
      <c r="R501" s="113" t="n"/>
      <c r="S501" s="113" t="n"/>
      <c r="T501" s="81" t="n"/>
      <c r="U501" s="81" t="n"/>
      <c r="V501" s="113" t="n"/>
      <c r="W501" s="81" t="n"/>
      <c r="X501" s="81" t="n"/>
      <c r="Y501" s="81" t="n"/>
      <c r="Z501" s="81" t="n"/>
      <c r="AA501" s="81" t="n"/>
      <c r="AB501" s="81" t="n"/>
      <c r="AC501" s="81" t="n"/>
      <c r="AD501" s="81" t="n"/>
      <c r="AE501" s="81" t="n"/>
      <c r="AF501" s="81" t="n"/>
      <c r="AG501" s="81" t="n"/>
      <c r="AH501" s="113" t="n"/>
      <c r="AI501" s="81" t="n"/>
      <c r="AJ501" s="81" t="n"/>
      <c r="AK501" s="113" t="n"/>
      <c r="AL501" s="81" t="n"/>
      <c r="AM501" s="81" t="n"/>
      <c r="AN501" s="81" t="n"/>
      <c r="AO501" s="113" t="n"/>
      <c r="AP501" s="113" t="n"/>
      <c r="AQ501" s="81" t="n"/>
      <c r="AR501" s="113" t="n"/>
      <c r="AS501" s="113" t="n"/>
      <c r="AT501" s="114" t="n"/>
      <c r="AU501" s="81" t="n"/>
      <c r="AV501" s="114" t="n"/>
      <c r="AW501" s="114" t="n"/>
      <c r="AX501" s="81" t="n"/>
      <c r="AY501" s="113" t="n"/>
      <c r="AZ501" s="115">
        <f>IF($B501="","",COUNTIF(References!$A$4:$A$503,$A501))</f>
        <v/>
      </c>
      <c r="BA501" s="115">
        <f>IF($B501="","",(LEN(A501)=0)+(LEN(B501)=0)+(LEN(D501)=0)+(LEN(G501)=0)+(LEN(H501)=0)+(LEN(I501)=0)+(LEN(J501)=0)+(LEN(L501)=0)+(LEN(M501)=0)+(LEN(O501)=0)+(LEN(R501)=0)+(LEN(X501)=0)+(LEN(AI501)=0)+(LEN(AJ501)=0)+(LEN(AQ501)=0)+(LEN(AR501)=0)+(LEN(AT501)=0)+(LEN(AU501)=0)+(LEN(AV501)=0)+(LEN(AX501)=0))</f>
        <v/>
      </c>
      <c r="BB501" s="115">
        <f>IF($B501="","",IF(AND(BA501=0,AZ501&gt;=1),"Complete","Incomplete"))</f>
        <v/>
      </c>
    </row>
    <row r="502" ht="15" customHeight="1" s="62">
      <c r="A502" s="81" t="n"/>
      <c r="B502" s="113" t="n"/>
      <c r="C502" s="81" t="n"/>
      <c r="D502" s="81" t="n"/>
      <c r="E502" s="81" t="n"/>
      <c r="F502" s="81" t="n"/>
      <c r="G502" s="81" t="n"/>
      <c r="H502" s="81" t="n"/>
      <c r="I502" s="81" t="n"/>
      <c r="J502" s="81" t="n"/>
      <c r="K502" s="81" t="n"/>
      <c r="L502" s="113" t="n"/>
      <c r="M502" s="81" t="n"/>
      <c r="N502" s="81" t="n"/>
      <c r="O502" s="81" t="n"/>
      <c r="P502" s="81" t="n"/>
      <c r="Q502" s="113" t="n"/>
      <c r="R502" s="113" t="n"/>
      <c r="S502" s="113" t="n"/>
      <c r="T502" s="81" t="n"/>
      <c r="U502" s="81" t="n"/>
      <c r="V502" s="113" t="n"/>
      <c r="W502" s="81" t="n"/>
      <c r="X502" s="81" t="n"/>
      <c r="Y502" s="81" t="n"/>
      <c r="Z502" s="81" t="n"/>
      <c r="AA502" s="81" t="n"/>
      <c r="AB502" s="81" t="n"/>
      <c r="AC502" s="81" t="n"/>
      <c r="AD502" s="81" t="n"/>
      <c r="AE502" s="81" t="n"/>
      <c r="AF502" s="81" t="n"/>
      <c r="AG502" s="81" t="n"/>
      <c r="AH502" s="113" t="n"/>
      <c r="AI502" s="81" t="n"/>
      <c r="AJ502" s="81" t="n"/>
      <c r="AK502" s="113" t="n"/>
      <c r="AL502" s="81" t="n"/>
      <c r="AM502" s="81" t="n"/>
      <c r="AN502" s="81" t="n"/>
      <c r="AO502" s="113" t="n"/>
      <c r="AP502" s="113" t="n"/>
      <c r="AQ502" s="81" t="n"/>
      <c r="AR502" s="113" t="n"/>
      <c r="AS502" s="113" t="n"/>
      <c r="AT502" s="114" t="n"/>
      <c r="AU502" s="81" t="n"/>
      <c r="AV502" s="114" t="n"/>
      <c r="AW502" s="114" t="n"/>
      <c r="AX502" s="81" t="n"/>
      <c r="AY502" s="113" t="n"/>
      <c r="AZ502" s="115">
        <f>IF($B502="","",COUNTIF(References!$A$4:$A$503,$A502))</f>
        <v/>
      </c>
      <c r="BA502" s="115">
        <f>IF($B502="","",(LEN(A502)=0)+(LEN(B502)=0)+(LEN(D502)=0)+(LEN(G502)=0)+(LEN(H502)=0)+(LEN(I502)=0)+(LEN(J502)=0)+(LEN(L502)=0)+(LEN(M502)=0)+(LEN(O502)=0)+(LEN(R502)=0)+(LEN(X502)=0)+(LEN(AI502)=0)+(LEN(AJ502)=0)+(LEN(AQ502)=0)+(LEN(AR502)=0)+(LEN(AT502)=0)+(LEN(AU502)=0)+(LEN(AV502)=0)+(LEN(AX502)=0))</f>
        <v/>
      </c>
      <c r="BB502" s="115">
        <f>IF($B502="","",IF(AND(BA502=0,AZ502&gt;=1),"Complete","Incomplete"))</f>
        <v/>
      </c>
    </row>
    <row r="503" ht="15" customHeight="1" s="62">
      <c r="A503" s="81" t="n"/>
      <c r="B503" s="113" t="n"/>
      <c r="C503" s="81" t="n"/>
      <c r="D503" s="81" t="n"/>
      <c r="E503" s="81" t="n"/>
      <c r="F503" s="81" t="n"/>
      <c r="G503" s="81" t="n"/>
      <c r="H503" s="81" t="n"/>
      <c r="I503" s="81" t="n"/>
      <c r="J503" s="81" t="n"/>
      <c r="K503" s="81" t="n"/>
      <c r="L503" s="113" t="n"/>
      <c r="M503" s="81" t="n"/>
      <c r="N503" s="81" t="n"/>
      <c r="O503" s="81" t="n"/>
      <c r="P503" s="81" t="n"/>
      <c r="Q503" s="113" t="n"/>
      <c r="R503" s="113" t="n"/>
      <c r="S503" s="113" t="n"/>
      <c r="T503" s="81" t="n"/>
      <c r="U503" s="81" t="n"/>
      <c r="V503" s="113" t="n"/>
      <c r="W503" s="81" t="n"/>
      <c r="X503" s="81" t="n"/>
      <c r="Y503" s="81" t="n"/>
      <c r="Z503" s="81" t="n"/>
      <c r="AA503" s="81" t="n"/>
      <c r="AB503" s="81" t="n"/>
      <c r="AC503" s="81" t="n"/>
      <c r="AD503" s="81" t="n"/>
      <c r="AE503" s="81" t="n"/>
      <c r="AF503" s="81" t="n"/>
      <c r="AG503" s="81" t="n"/>
      <c r="AH503" s="113" t="n"/>
      <c r="AI503" s="81" t="n"/>
      <c r="AJ503" s="81" t="n"/>
      <c r="AK503" s="113" t="n"/>
      <c r="AL503" s="81" t="n"/>
      <c r="AM503" s="81" t="n"/>
      <c r="AN503" s="81" t="n"/>
      <c r="AO503" s="113" t="n"/>
      <c r="AP503" s="113" t="n"/>
      <c r="AQ503" s="81" t="n"/>
      <c r="AR503" s="113" t="n"/>
      <c r="AS503" s="113" t="n"/>
      <c r="AT503" s="114" t="n"/>
      <c r="AU503" s="81" t="n"/>
      <c r="AV503" s="114" t="n"/>
      <c r="AW503" s="114" t="n"/>
      <c r="AX503" s="81" t="n"/>
      <c r="AY503" s="113" t="n"/>
      <c r="AZ503" s="115">
        <f>IF($B503="","",COUNTIF(References!$A$4:$A$503,$A503))</f>
        <v/>
      </c>
      <c r="BA503" s="115">
        <f>IF($B503="","",(LEN(A503)=0)+(LEN(B503)=0)+(LEN(D503)=0)+(LEN(G503)=0)+(LEN(H503)=0)+(LEN(I503)=0)+(LEN(J503)=0)+(LEN(L503)=0)+(LEN(M503)=0)+(LEN(O503)=0)+(LEN(R503)=0)+(LEN(X503)=0)+(LEN(AI503)=0)+(LEN(AJ503)=0)+(LEN(AQ503)=0)+(LEN(AR503)=0)+(LEN(AT503)=0)+(LEN(AU503)=0)+(LEN(AV503)=0)+(LEN(AX503)=0))</f>
        <v/>
      </c>
      <c r="BB503" s="115">
        <f>IF($B503="","",IF(AND(BA503=0,AZ503&gt;=1),"Complete","Incomplete"))</f>
        <v/>
      </c>
    </row>
  </sheetData>
  <autoFilter ref="A2:BB503"/>
  <mergeCells count="8">
    <mergeCell ref="AQ1:AT1"/>
    <mergeCell ref="AZ1:BB1"/>
    <mergeCell ref="M1:S1"/>
    <mergeCell ref="A1:L1"/>
    <mergeCell ref="X1:AH1"/>
    <mergeCell ref="AI1:AP1"/>
    <mergeCell ref="AU1:AY1"/>
    <mergeCell ref="T1:W1"/>
  </mergeCells>
  <dataValidations count="22">
    <dataValidation sqref="G4:G503" showDropDown="0" showInputMessage="0" showErrorMessage="1" allowBlank="1" error="Latitude must be between -90 and 90." type="decimal" errorStyle="stop" operator="between">
      <formula1>-90</formula1>
      <formula2>90</formula2>
    </dataValidation>
    <dataValidation sqref="H4:H503" showDropDown="0" showInputMessage="0" showErrorMessage="1" allowBlank="1" error="Longitude must be between -180 and 180." type="decimal" errorStyle="stop" operator="between">
      <formula1>-180</formula1>
      <formula2>180</formula2>
    </dataValidation>
    <dataValidation sqref="I4:I503" showDropDown="0" showInputMessage="0" showErrorMessage="1" allowBlank="1" errorTitle="Choose from the list" error="Pick a value from the dropdown. Ask a maintainer to add new values to the Vocabularies tab." type="list" errorStyle="stop" operator="between">
      <formula1>Vocabularies!$G$2:$G$5</formula1>
      <formula2>0</formula2>
    </dataValidation>
    <dataValidation sqref="J4:J503" showDropDown="0" showInputMessage="0" showErrorMessage="1" allowBlank="1" errorTitle="Choose from the list" error="Pick a value from the dropdown. Ask a maintainer to add new values to the Vocabularies tab." type="list" errorStyle="stop" operator="between">
      <formula1>Vocabularies!$I$2:$I$3</formula1>
      <formula2>0</formula2>
    </dataValidation>
    <dataValidation sqref="K4:K503" showDropDown="0" showInputMessage="0" showErrorMessage="1" allowBlank="1" error="Enter a number only; put units in the header." type="decimal" errorStyle="stop" operator="between">
      <formula1>-1000000</formula1>
      <formula2>1000000</formula2>
    </dataValidation>
    <dataValidation sqref="L4:L503" showDropDown="0" showInputMessage="0" showErrorMessage="1" allowBlank="1" error="Keep the summary under 300 characters." type="textLength" errorStyle="stop" operator="lessThanOrEqual">
      <formula1>300</formula1>
      <formula2>0</formula2>
    </dataValidation>
    <dataValidation sqref="M4:M503" showDropDown="0" showInputMessage="0" showErrorMessage="1" allowBlank="1" errorTitle="Choose from the list" error="Pick a value from the dropdown. Ask a maintainer to add new values to the Vocabularies tab." type="list" errorStyle="stop" operator="between">
      <formula1>Vocabularies!$A$2:$A$18</formula1>
      <formula2>0</formula2>
    </dataValidation>
    <dataValidation sqref="O4:O503" showDropDown="0" showInputMessage="0" showErrorMessage="1" allowBlank="1" errorTitle="Choose from the list" error="Pick a value from the dropdown. Ask a maintainer to add new values to the Vocabularies tab." type="list" errorStyle="stop" operator="between">
      <formula1>Vocabularies!$B$2:$B$11</formula1>
      <formula2>0</formula2>
    </dataValidation>
    <dataValidation sqref="T4:T503" showDropDown="0" showInputMessage="0" showErrorMessage="1" allowBlank="1" errorTitle="Choose from the list" error="Pick a value from the dropdown. Ask a maintainer to add new values to the Vocabularies tab." type="list" errorStyle="stop" operator="between">
      <formula1>Vocabularies!$D$2:$D$9</formula1>
      <formula2>0</formula2>
    </dataValidation>
    <dataValidation sqref="X4:X503" showDropDown="0" showInputMessage="0" showErrorMessage="1" allowBlank="1" errorTitle="Choose from the list" error="Pick a value from the dropdown. Ask a maintainer to add new values to the Vocabularies tab." type="list" errorStyle="stop" operator="between">
      <formula1>Vocabularies!$C$2:$C$17</formula1>
      <formula2>0</formula2>
    </dataValidation>
    <dataValidation sqref="Z4:AA503" showDropDown="0" showInputMessage="0" showErrorMessage="1" allowBlank="1" error="pH must be between 0 and 14." type="decimal" errorStyle="stop" operator="between">
      <formula1>0</formula1>
      <formula2>14</formula2>
    </dataValidation>
    <dataValidation sqref="AB4:AB503" showDropDown="0" showInputMessage="0" showErrorMessage="1" allowBlank="1" error="Enter a number only; put units in the header." type="decimal" errorStyle="stop" operator="between">
      <formula1>-1000000</formula1>
      <formula2>1000000</formula2>
    </dataValidation>
    <dataValidation sqref="AC4:AC503" showDropDown="0" showInputMessage="0" showErrorMessage="1" allowBlank="1" error="Enter a number only; put units in the header." type="decimal" errorStyle="stop" operator="between">
      <formula1>-1000000</formula1>
      <formula2>1000000</formula2>
    </dataValidation>
    <dataValidation sqref="AE4:AE503" showDropDown="0" showInputMessage="0" showErrorMessage="1" allowBlank="1" error="Enter a number only; put units in the header." type="decimal" errorStyle="stop" operator="between">
      <formula1>-1000000</formula1>
      <formula2>1000000</formula2>
    </dataValidation>
    <dataValidation sqref="AF4:AF503" showDropDown="0" showInputMessage="0" showErrorMessage="1" allowBlank="1" error="Enter a number only; put units in the header." type="decimal" errorStyle="stop" operator="between">
      <formula1>-1000000</formula1>
      <formula2>1000000</formula2>
    </dataValidation>
    <dataValidation sqref="AG4:AG503" showDropDown="0" showInputMessage="0" showErrorMessage="1" allowBlank="1" errorTitle="Choose from the list" error="Pick a value from the dropdown. Ask a maintainer to add new values to the Vocabularies tab." type="list" errorStyle="stop" operator="between">
      <formula1>Vocabularies!$K$2:$K$4</formula1>
      <formula2>0</formula2>
    </dataValidation>
    <dataValidation sqref="AI4:AI503" showDropDown="0" showInputMessage="0" showErrorMessage="1" allowBlank="1" errorTitle="Choose from the list" error="Pick a value from the dropdown. Ask a maintainer to add new values to the Vocabularies tab." type="list" errorStyle="stop" operator="between">
      <formula1>Vocabularies!$L$2:$L$6</formula1>
      <formula2>0</formula2>
    </dataValidation>
    <dataValidation sqref="AJ4:AJ503" showDropDown="0" showInputMessage="0" showErrorMessage="1" allowBlank="1" errorTitle="Choose from the list" error="Pick a value from the dropdown. Ask a maintainer to add new values to the Vocabularies tab." type="list" errorStyle="stop" operator="between">
      <formula1>Vocabularies!$J$2:$J$4</formula1>
      <formula2>0</formula2>
    </dataValidation>
    <dataValidation sqref="AL4:AL503" showDropDown="0" showInputMessage="0" showErrorMessage="1" allowBlank="1" errorTitle="Choose from the list" error="Pick a value from the dropdown. Ask a maintainer to add new values to the Vocabularies tab." type="list" errorStyle="stop" operator="between">
      <formula1>Vocabularies!$F$2:$F$9</formula1>
      <formula2>0</formula2>
    </dataValidation>
    <dataValidation sqref="AQ4:AQ503" showDropDown="0" showInputMessage="0" showErrorMessage="1" allowBlank="1" errorTitle="Choose from the list" error="Pick a value from the dropdown. Ask a maintainer to add new values to the Vocabularies tab." type="list" errorStyle="stop" operator="between">
      <formula1>Vocabularies!$L$2:$L$6</formula1>
      <formula2>0</formula2>
    </dataValidation>
    <dataValidation sqref="AT4:AT503 AV4:AW503" showDropDown="0" showInputMessage="0" showErrorMessage="1" allowBlank="1" error="Enter a date as YYYY-MM-DD." type="date" errorStyle="stop" operator="greaterThan">
      <formula1>36526</formula1>
      <formula2>0</formula2>
    </dataValidation>
    <dataValidation sqref="AX4:AX503" showDropDown="0" showInputMessage="0" showErrorMessage="1" allowBlank="1" errorTitle="Choose from the list" error="Pick a value from the dropdown. Ask a maintainer to add new values to the Vocabularies tab." type="list" errorStyle="stop" operator="between">
      <formula1>Vocabularies!$H$2:$H$5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503"/>
  <sheetViews>
    <sheetView showFormulas="0" showGridLines="1"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26" customWidth="1" style="61" min="1" max="1"/>
    <col width="60" customWidth="1" style="61" min="2" max="2"/>
    <col width="34" customWidth="1" style="61" min="3" max="4"/>
    <col width="18" customWidth="1" style="61" min="5" max="5"/>
    <col width="30" customWidth="1" style="61" min="6" max="6"/>
  </cols>
  <sheetData>
    <row r="1" ht="15" customHeight="1" s="62">
      <c r="A1" s="116" t="inlineStr">
        <is>
          <t>REFERENCES: one row per source. Every number on the Sites tab should trace to a row here.</t>
        </is>
      </c>
    </row>
    <row r="2" ht="15" customHeight="1" s="62">
      <c r="A2" s="74" t="inlineStr">
        <is>
          <t>site_id</t>
        </is>
      </c>
      <c r="B2" s="74" t="inlineStr">
        <is>
          <t>citation</t>
        </is>
      </c>
      <c r="C2" s="74" t="inlineStr">
        <is>
          <t>doi_or_url</t>
        </is>
      </c>
      <c r="D2" s="74" t="inlineStr">
        <is>
          <t>fields_supported</t>
        </is>
      </c>
      <c r="E2" s="74" t="inlineStr">
        <is>
          <t>added_by</t>
        </is>
      </c>
      <c r="F2" s="74" t="inlineStr">
        <is>
          <t>notes</t>
        </is>
      </c>
    </row>
    <row r="3" ht="27.75" customHeight="1" s="62">
      <c r="A3" s="111" t="inlineStr">
        <is>
          <t>Must match an id on the Sites tab</t>
        </is>
      </c>
      <c r="B3" s="111" t="inlineStr">
        <is>
          <t>Author(s), year, title, journal</t>
        </is>
      </c>
      <c r="C3" s="111" t="inlineStr">
        <is>
          <t>DOI preferred, e.g. 10.1089/ast.2013.1234</t>
        </is>
      </c>
      <c r="D3" s="111" t="inlineStr">
        <is>
          <t>Which fields this source backs up; separate with ;</t>
        </is>
      </c>
      <c r="E3" s="111" t="inlineStr">
        <is>
          <t>Your name</t>
        </is>
      </c>
      <c r="F3" s="111" t="n"/>
    </row>
    <row r="4" ht="23.25" customHeight="1" s="62">
      <c r="A4" s="81" t="inlineStr">
        <is>
          <t>rio-tinto-es</t>
        </is>
      </c>
      <c r="B4" s="113" t="inlineStr">
        <is>
          <t>Amils, R., Fernández-Remolar, D. &amp; the IPBSL Team (2014). Río Tinto: A Geochemical and Mineralogical Terrestrial Analogue of Mars. Life, 4(3), 511–534.</t>
        </is>
      </c>
      <c r="C4" s="81" t="inlineStr">
        <is>
          <t>10.3390/life4030511</t>
        </is>
      </c>
      <c r="D4" s="113" t="inlineStr">
        <is>
          <t>summary; analogue_for_primary; analogue_type_primary; analogue_type_other; target_feature; science_relevance; analogue_limitations; geological_setting; rock_types; key_minerals; age; environment_type_primary; environment_type_other; biology_present; notable_organisms; nearest_town; hazards; safety_notes</t>
        </is>
      </c>
      <c r="E4" s="81" t="n"/>
      <c r="F4" s="113" t="inlineStr">
        <is>
          <t>Peer-reviewed. Opened on MDPI. Review: 92 km river, mean pH 2.3, mineralogy (jarosite, schwertmannite, goethite, hematite etc.), terrace/gossan ages, microbiology, Meridiani comparison and analogue limitations. No water temperature given.</t>
        </is>
      </c>
    </row>
    <row r="5" ht="15" customHeight="1" s="62">
      <c r="A5" s="81" t="inlineStr">
        <is>
          <t>rio-tinto-es</t>
        </is>
      </c>
      <c r="B5" s="113" t="inlineStr">
        <is>
          <t>Gómez, F., Walter, N., Amils, R., Rull, F., Klingelhöfer, A.K., Kviderova, J., Sarrazin, P., Foing, B., Behar, A., Fleischer, I., Parro, V., Garcia-Villadangos, M., Blake, D., Martin Ramos, J.D., Direito, S., Mahapatra, P., Stam, C., Venkateswaran, K. &amp; Voytek, M. (2011). Multidisciplinary integrated field campaign to an acidic Martian Earth analogue with astrobiological interest: Rio Tinto. International Journal of Astrobiology, 10(3), 291–305.</t>
        </is>
      </c>
      <c r="C5" s="81" t="inlineStr">
        <is>
          <t>10.1017/S147355041100005X</t>
        </is>
      </c>
      <c r="D5" s="113" t="inlineStr">
        <is>
          <t>analogue_for_primary; analogue_type_primary; analogue_type_other; target_feature; science_relevance; geological_setting; rock_types; environment_type_other; biology_present</t>
        </is>
      </c>
      <c r="E5" s="81" t="n"/>
      <c r="F5" s="113" t="inlineStr">
        <is>
          <t>Peer-reviewed. Opened on Cambridge Core. CAREX field campaign; Iberian Pyritic Belt; jarosite and iron oxides vs Meridiani; endolithic phototrophs in acidic salt deposits.</t>
        </is>
      </c>
    </row>
    <row r="6" ht="15" customHeight="1" s="62">
      <c r="A6" s="81" t="inlineStr">
        <is>
          <t>rio-tinto-es</t>
        </is>
      </c>
      <c r="B6" s="113" t="inlineStr">
        <is>
          <t>Junta de Andalucía (2005). Decreto 558/2004, de 14 de diciembre, por el que se declara el Paisaje Protegido de Río Tinto. BOJA no. 10, 17 January 2005.</t>
        </is>
      </c>
      <c r="C6" s="81" t="inlineStr">
        <is>
          <t>https://www.juntadeandalucia.es/boja/2005/10/2</t>
        </is>
      </c>
      <c r="D6" s="113" t="inlineStr">
        <is>
          <t>region; extent_km2; access_level; permits_required; permit_authority; land_status; nearest_town; sampling_rules</t>
        </is>
      </c>
      <c r="E6" s="81" t="n"/>
      <c r="F6" s="113" t="inlineStr">
        <is>
          <t>Official source. Official decree: 16,956.79 ha across 11 municipalities incl. Minas de Riotinto and Nerva; access and activity rules (Art. 4).</t>
        </is>
      </c>
    </row>
    <row r="7" ht="15" customHeight="1" s="62">
      <c r="A7" s="81" t="inlineStr">
        <is>
          <t>rio-tinto-es</t>
        </is>
      </c>
      <c r="B7" s="113" t="inlineStr">
        <is>
          <t>Wikipedia contributors. Rio Tinto (river). Wikipedia.</t>
        </is>
      </c>
      <c r="C7" s="81" t="inlineStr">
        <is>
          <t>https://en.wikipedia.org/wiki/Rio_Tinto_(river)</t>
        </is>
      </c>
      <c r="D7" s="113" t="inlineStr">
        <is>
          <t>alt_names; country_code; region; latitude; longitude; coordinate_precision; summary; analogue_for_other; ph_min; ph_max; hazards; safety_notes</t>
        </is>
      </c>
      <c r="E7" s="81" t="n"/>
      <c r="F7" s="113" t="inlineStr">
        <is>
          <t>Secondary source. Source coordinates (37.21 N, 6.938 W); pH 2–2.5 in most areas; mining history (from c. 3000 BC; copper production restarted 2016); Mars and possible Europa analogue statements.</t>
        </is>
      </c>
    </row>
    <row r="8" ht="15" customHeight="1" s="62">
      <c r="A8" s="81" t="inlineStr">
        <is>
          <t>atacama-yungay-cl</t>
        </is>
      </c>
      <c r="B8" s="113" t="inlineStr">
        <is>
          <t>Navarro-González, R., Rainey, F. A., Molina, P., Bagaley, D. R., Hollen, B. J., de la Rosa, J., Small, A. M., Quinn, R. C., Grunthaner, F. J., Cáceres, L., Gómez-Silva, B. &amp; McKay, C. P. (2003). Mars-like soils in the Atacama Desert, Chile, and the dry limit of microbial life. Science, 302(5647), 1018–1021.</t>
        </is>
      </c>
      <c r="C8" s="81" t="inlineStr">
        <is>
          <t>10.1126/science.1089143</t>
        </is>
      </c>
      <c r="D8" s="113" t="inlineStr">
        <is>
          <t>summary; analogue_for_primary; analogue_type_primary; analogue_type_other; target_feature; science_relevance; environment_type_primary; biology_present</t>
        </is>
      </c>
      <c r="E8" s="81" t="n"/>
      <c r="F8" s="113" t="inlineStr">
        <is>
          <t>Peer-reviewed. Verified via the Crossref API record and the ANID (Chile) investigator database. doi.org was rate-limited and could not be opened. Founding Yungay Mars-soil analogue paper: trace organics, no DNA recovered, very low culturable bacteria, non-biological oxidation of organics.</t>
        </is>
      </c>
    </row>
    <row r="9" ht="15" customHeight="1" s="62">
      <c r="A9" s="81" t="inlineStr">
        <is>
          <t>atacama-yungay-cl</t>
        </is>
      </c>
      <c r="B9" s="113" t="inlineStr">
        <is>
          <t>Azua-Bustos, A., Fairén, A. G., González-Silva, C., Ascaso, C., Carrizo, D., Fernández-Martínez, M. Á., Fernández-Sampedro, M., García-Descalzo, L., García-Villadangos, M., Martin-Redondo, M. P., Sánchez-García, L., Wierzchos, J. &amp; Parro, V. (2018). Unprecedented rains decimate surface microbial communities in the hyperarid core of the Atacama Desert. Scientific Reports, 8, 16706.</t>
        </is>
      </c>
      <c r="C9" s="81" t="inlineStr">
        <is>
          <t>10.1038/s41598-018-35051-w</t>
        </is>
      </c>
      <c r="D9" s="113" t="inlineStr">
        <is>
          <t>region; summary; analogue_for_primary; analogue_type_other; target_feature; science_relevance; environment_type_primary; environment_type_other; salinity; key_minerals; biology_present; notable_organisms</t>
        </is>
      </c>
      <c r="E9" s="81" t="n"/>
      <c r="F9" s="113" t="inlineStr">
        <is>
          <t>Peer-reviewed. Opened on nature.com. Covers Yungay-area soils (nitrates, sulphates, perchlorates, halite and sodium nitrate), 2015 and 2017 rain events (core mean annual precipitation mostly below 4 mm), post-rain microbiology, and Mars nitrogen-cycle and flooding analogue arguments.</t>
        </is>
      </c>
    </row>
    <row r="10" ht="15" customHeight="1" s="62">
      <c r="A10" s="81" t="inlineStr">
        <is>
          <t>atacama-yungay-cl</t>
        </is>
      </c>
      <c r="B10" s="113" t="inlineStr">
        <is>
          <t>PANGAEA dataset (2021). Soil temperature and relative humidity measurements in 70 cm soil depth at the Yungay hyperarid site in 2017.</t>
        </is>
      </c>
      <c r="C10" s="81" t="inlineStr">
        <is>
          <t>10.1594/PANGAEA.929562</t>
        </is>
      </c>
      <c r="D10" s="113" t="inlineStr">
        <is>
          <t>alt_names; region; latitude; longitude; coordinate_precision</t>
        </is>
      </c>
      <c r="E10" s="81" t="n"/>
      <c r="F10" s="113" t="inlineStr">
        <is>
          <t>Secondary source. Opened the B2FIND metadata record. Gives the site location as lat -24.100, lon -70.010. Used for coordinates only.</t>
        </is>
      </c>
    </row>
    <row r="11" ht="15" customHeight="1" s="62">
      <c r="A11" s="81" t="inlineStr">
        <is>
          <t>dallol-et</t>
        </is>
      </c>
      <c r="B11" s="113" t="inlineStr">
        <is>
          <t>Belilla, J., Moreira, D., Jardillier, L., Reboul, G., Benzerara, K., López-García, J. M., Bertolino, P., López-Archilla, A. I. &amp; López-García, P. (2019). Hyperdiverse archaea near life limits at the polyextreme geothermal Dallol area. Nature Ecology &amp; Evolution, 3(11), 1552–1561.</t>
        </is>
      </c>
      <c r="C11" s="81" t="inlineStr">
        <is>
          <t>10.1038/s41559-019-1005-0</t>
        </is>
      </c>
      <c r="D11" s="113" t="inlineStr">
        <is>
          <t>analogue_type_other; science_relevance; environment_type_other; salinity; biology_present; notable_organisms</t>
        </is>
      </c>
      <c r="E11" s="81" t="n"/>
      <c r="F11" s="113" t="inlineStr">
        <is>
          <t>Peer-reviewed. Opened on nature.com and confirmed via Crossref. Identifies chaotropic Mg/Ca brines and pH around 0 with NaCl saturation as barriers to life. Ultrasmall archaea dominate where life occurs. Mentions a 110 °C hydrocarbon-rich chimney at 'Little Dallol'.</t>
        </is>
      </c>
    </row>
    <row r="12" ht="15" customHeight="1" s="62">
      <c r="A12" s="81" t="inlineStr">
        <is>
          <t>dallol-et</t>
        </is>
      </c>
      <c r="B12" s="113" t="inlineStr">
        <is>
          <t>Kotopoulou, E., Delgado Huertas, A., García-Ruiz, J. M., Domínguez-Vera, J. M., López-García, J. M., Guerra-Tschuschke, I. &amp; Rull, F. (2019). A polyextreme hydrothermal system controlled by iron: the case of Dallol at the Afar Triangle. ACS Earth and Space Chemistry, 3(1), 90–99.</t>
        </is>
      </c>
      <c r="C12" s="81" t="inlineStr">
        <is>
          <t>10.1021/acsearthspacechem.8b00141</t>
        </is>
      </c>
      <c r="D12" s="113" t="inlineStr">
        <is>
          <t>alt_names; region; summary; analogue_for_primary; analogue_for_other; analogue_type_primary; analogue_type_other; target_feature; science_relevance; geological_setting; rock_types; key_minerals; environment_type_primary; environment_type_other; ph_min; ph_max; temp_min_c; temp_max_c; salinity; altitude_min_m; altitude_max_m; hazard_rating; hazards; safety_notes</t>
        </is>
      </c>
      <c r="E12" s="81" t="n"/>
      <c r="F12" s="113" t="inlineStr">
        <is>
          <t>Peer-reviewed. Confirmed via Crossref (online 6 December 2018, print 17 January 2019). Full text read from the Universidad de Granada repository (digibug.ugr.es). Spring pH 0.16 to -0.5, pools down to -1.7, Black Lake about 2.5, Yellow Lake about 1.7. Springs 105.6–108.4 °C, pools cooling to about 32 °C. Iron up to 150 g/L. Dome about 60 m below sea level; depression about 120 m below sea level. Lists the minerals and describes Dallol as a Martian analogue site.</t>
        </is>
      </c>
    </row>
    <row r="13" ht="15" customHeight="1" s="62">
      <c r="A13" s="81" t="inlineStr">
        <is>
          <t>dallol-et</t>
        </is>
      </c>
      <c r="B13" s="113" t="inlineStr">
        <is>
          <t>UK Foreign, Commonwealth &amp; Development Office (2026). Ethiopia travel advice: summary, safety and security, and regional risks (updated 7 October 2026).</t>
        </is>
      </c>
      <c r="C13" s="81" t="inlineStr">
        <is>
          <t>https://www.gov.uk/foreign-travel-advice/ethiopia/regional-risks</t>
        </is>
      </c>
      <c r="D13" s="113" t="inlineStr">
        <is>
          <t>hazard_rating; hazards; safety_notes; access_level</t>
        </is>
      </c>
      <c r="E13" s="81" t="n"/>
      <c r="F13" s="113" t="inlineStr">
        <is>
          <t>Official source. Afar: advice against all travel within 20 km of Eritrea and within 50 km of Tigray, and all but essential travel to the rest. Renewed clashes in parts of Afar. Foreign nationals cannot travel to Afar airports. Medical facilities outside the capital are extremely limited. Does NOT mention Dallol, Danakil, guides, escorts, gas or heat.</t>
        </is>
      </c>
    </row>
    <row r="14" ht="15" customHeight="1" s="62">
      <c r="A14" s="81" t="inlineStr">
        <is>
          <t>dallol-et</t>
        </is>
      </c>
      <c r="B14" s="113" t="inlineStr">
        <is>
          <t>Wikipedia contributors. Dallol (hydrothermal system). Wikipedia (accessed 11 October 2026).</t>
        </is>
      </c>
      <c r="C14" s="81" t="inlineStr">
        <is>
          <t>https://en.wikipedia.org/wiki/Dallol_(hydrothermal_system)</t>
        </is>
      </c>
      <c r="D14" s="113" t="inlineStr">
        <is>
          <t>alt_names; region; latitude; longitude; geological_setting; rock_types; key_minerals; age; biology_present; notable_organisms; hazard_rating; hazards; safety_notes</t>
        </is>
      </c>
      <c r="E14" s="81" t="n"/>
      <c r="F14" s="113" t="inlineStr">
        <is>
          <t>Secondary source. Coordinates 14°14′30″N 40°18′00″E. 1926 phreatic eruptions; January 2011 activity. Gas composition (CO2, H2S, N2, SO2). Notes on 'acid basins, toxic fumes' and 'unbearable heat'. Summarises the 2019 life and no-life studies.</t>
        </is>
      </c>
    </row>
    <row r="15" ht="15" customHeight="1" s="62">
      <c r="A15" s="81" t="inlineStr">
        <is>
          <t>mcmurdo-dry-valleys-aq</t>
        </is>
      </c>
      <c r="B15" s="113" t="inlineStr">
        <is>
          <t>Friedmann, E. I. (1982). Endolithic microorganisms in the Antarctic cold desert. Science, 215(4536), 1045–1053.</t>
        </is>
      </c>
      <c r="C15" s="81" t="inlineStr">
        <is>
          <t>10.1126/science.215.4536.1045</t>
        </is>
      </c>
      <c r="D15" s="113" t="inlineStr">
        <is>
          <t>summary; analogue_type_primary; target_feature; science_relevance; biology_present; notable_organisms</t>
        </is>
      </c>
      <c r="E15" s="81" t="n"/>
      <c r="F15" s="113" t="inlineStr">
        <is>
          <t>Peer-reviewed. Founding paper on the cryptoendolithic lichen/microbial communities of the Dry Valleys. Title, author, year and pages checked against Crossref and Europe PMC records; abstract read.</t>
        </is>
      </c>
    </row>
    <row r="16" ht="15" customHeight="1" s="62">
      <c r="A16" s="81" t="inlineStr">
        <is>
          <t>mcmurdo-dry-valleys-aq</t>
        </is>
      </c>
      <c r="B16" s="113" t="inlineStr">
        <is>
          <t>Marchant, D. R. &amp; Head, J. W. (2007). Antarctic dry valleys: Microclimate zonation, variable geomorphic processes, and implications for assessing climate change on Mars. Icarus, 192(1), 187–222.</t>
        </is>
      </c>
      <c r="C16" s="81" t="inlineStr">
        <is>
          <t>10.1016/j.icarus.2007.06.018</t>
        </is>
      </c>
      <c r="D16" s="113" t="inlineStr">
        <is>
          <t>analogue_for_primary; analogue_type_other; science_relevance</t>
        </is>
      </c>
      <c r="E16" s="81" t="n"/>
      <c r="F16" s="113" t="inlineStr">
        <is>
          <t>Peer-reviewed. Dry Valleys as a Mars geomorphological/climate analogue. DOI, title, authors, year and pages confirmed via Crossref metadata only (ADS page blocked; abstract not read), so it is cited only for the Mars-analogue framing in its title.</t>
        </is>
      </c>
    </row>
    <row r="17" ht="15" customHeight="1" s="62">
      <c r="A17" s="81" t="inlineStr">
        <is>
          <t>mcmurdo-dry-valleys-aq</t>
        </is>
      </c>
      <c r="B17" s="113" t="inlineStr">
        <is>
          <t>Antarctic Treaty Consultative Meeting. Management Plan for Antarctic Specially Managed Area No. 2: McMurdo Dry Valleys, Southern Victoria Land (copy hosted by Ministry of the Environment, Japan).</t>
        </is>
      </c>
      <c r="C17" s="81" t="inlineStr">
        <is>
          <t>https://www.env.go.jp/nature/nankyoku/kankyohogo/database/jyouyaku/asma/asma_pdf_en/ASMA02_en.pdf</t>
        </is>
      </c>
      <c r="D17" s="113" t="inlineStr">
        <is>
          <t>alt_names; latitude; longitude; coordinate_precision; sensitive_site; summary; analogue_for_primary; analogue_for_other; analogue_type_primary; analogue_type_other; target_feature; science_relevance; analogue_limitations; geological_setting; environment_type_primary; environment_type_other; biology_present; notable_organisms; access_level; permits_required; permit_authority; land_status; nearest_town; transport_notes; sampling_rules; hazard_rating; hazards; safety_notes</t>
        </is>
      </c>
      <c r="E17" s="81" t="n"/>
      <c r="F17" s="113" t="inlineStr">
        <is>
          <t>Official source. Official management plan: area (~15,000 km2), location ~77°S 162°E, access, zoning, ASPAs needing entry permits, sampling rules, Mars/ancient Earth analogue statement, Wright Valley climate.</t>
        </is>
      </c>
    </row>
    <row r="18" ht="15" customHeight="1" s="62">
      <c r="A18" s="81" t="inlineStr">
        <is>
          <t>mcmurdo-dry-valleys-aq</t>
        </is>
      </c>
      <c r="B18" s="113" t="inlineStr">
        <is>
          <t>Wikipedia contributors. McMurdo Dry Valleys. Wikipedia (accessed 2026-10-11).</t>
        </is>
      </c>
      <c r="C18" s="81" t="inlineStr">
        <is>
          <t>https://en.wikipedia.org/wiki/McMurdo_Dry_Valleys</t>
        </is>
      </c>
      <c r="D18" s="113" t="inlineStr">
        <is>
          <t>alt_names; country_code; region; extent_km2; summary; analogue_for_primary; target_feature; analogue_limitations; geological_setting; rock_types; age; environment_type_primary; environment_type_other; temp_min_c; temp_max_c; salinity; notable_organisms; hazard_rating; hazards; safety_notes</t>
        </is>
      </c>
      <c r="E18" s="81" t="n"/>
      <c r="F18" s="113" t="inlineStr">
        <is>
          <t>Secondary source. Ice-free area ~4,500 km2, temperature records, precipitation, geology, lakes, NASA analogue use since Viking.</t>
        </is>
      </c>
    </row>
    <row r="19" ht="15" customHeight="1" s="62">
      <c r="A19" s="81" t="inlineStr">
        <is>
          <t>mcmurdo-dry-valleys-aq</t>
        </is>
      </c>
      <c r="B19" s="113" t="inlineStr">
        <is>
          <t>UK Foreign, Commonwealth &amp; Development Office (2026). Visiting Antarctica. GOV.UK (last updated 3 March 2026).</t>
        </is>
      </c>
      <c r="C19" s="81" t="inlineStr">
        <is>
          <t>https://www.gov.uk/guidance/visits-to-antarctica-how-to-apply-for-a-permit</t>
        </is>
      </c>
      <c r="D19" s="113" t="inlineStr">
        <is>
          <t>access_level; permits_required; permit_authority</t>
        </is>
      </c>
      <c r="E19" s="81" t="n"/>
      <c r="F19" s="113" t="inlineStr">
        <is>
          <t>Official source. Permit needed for any British expedition; issued by FCDO Polar Regions Department; apply at least 4 months ahead (2 months for repeat summer activities).</t>
        </is>
      </c>
    </row>
    <row r="20" ht="15" customHeight="1" s="62">
      <c r="A20" s="81" t="inlineStr">
        <is>
          <t>haughton-crater-ca</t>
        </is>
      </c>
      <c r="B20" s="113" t="inlineStr">
        <is>
          <t>Osinski, G. R., Lee, P., Spray, J. G., Parnell, J., Lim, D. S. S., Bunch, T. E., Cockell, C. S., &amp; Glass, B. (2005). Geological overview and cratering model for the Haughton impact structure, Devon Island, Canadian High Arctic. Meteoritics &amp; Planetary Science, 40(12), 1759–1776.</t>
        </is>
      </c>
      <c r="C20" s="81" t="inlineStr">
        <is>
          <t>https://oro.open.ac.uk/7959</t>
        </is>
      </c>
      <c r="D20" s="113" t="inlineStr">
        <is>
          <t>summary; analogue_type_primary; analogue_type_other; target_feature; science_relevance; geological_setting; rock_types; key_minerals; age; environment_type_primary; biology_present</t>
        </is>
      </c>
      <c r="E20" s="81" t="n"/>
      <c r="F20" s="113" t="inlineStr">
        <is>
          <t>Peer-reviewed. Title, authors, year and pages confirmed on the Open University (ORO) and University of Edinburgh repository pages. Covers apparent diameter c. 23 km, target stratigraphy, impact melt breccias (calcite-anhydrite-silicate glass groundmass), post-impact hydrothermal habitat and an older 39 Ma age. The DOI could not be confirmed (doi.org and Crossref were rate-limited), so the repository URL is given instead.</t>
        </is>
      </c>
    </row>
    <row r="21" ht="15" customHeight="1" s="62">
      <c r="A21" s="81" t="inlineStr">
        <is>
          <t>haughton-crater-ca</t>
        </is>
      </c>
      <c r="B21" s="113" t="inlineStr">
        <is>
          <t>Lee, P., &amp; Osinski, G. R. (2005). The Haughton-Mars Project: Overview of science investigations at the Haughton impact structure and surrounding terrains, and relevance to planetary studies. Meteoritics &amp; Planetary Science, 40(12), 1755–1758.</t>
        </is>
      </c>
      <c r="C21" s="81" t="inlineStr">
        <is>
          <t>10.1111/j.1945-5100.2005.tb00144.x</t>
        </is>
      </c>
      <c r="D21" s="113" t="inlineStr">
        <is>
          <t>analogue_for_primary</t>
        </is>
      </c>
      <c r="E21" s="81" t="n"/>
      <c r="F21" s="113" t="inlineStr">
        <is>
          <t>Peer-reviewed. Title, authors, year, pages and DOI confirmed on the University of Arizona repository record (repository.arizona.edu/handle/10150/656074), which hosts the M&amp;PS archive. Introduces the HMP special issue. The abstract was not available on that page.</t>
        </is>
      </c>
    </row>
    <row r="22" ht="15" customHeight="1" s="62">
      <c r="A22" s="81" t="inlineStr">
        <is>
          <t>haughton-crater-ca</t>
        </is>
      </c>
      <c r="B22" s="113" t="inlineStr">
        <is>
          <t>Erickson, T. M., Kirkland, C. L., Jourdan, F., Schmieder, M., Hartnady, M. I. H., Cox, M. A., &amp; Timms, N. E. (2021). Resolving the age of the Haughton impact structure using coupled 40Ar/39Ar and U-Pb geochronology. Geochimica et Cosmochimica Acta, 304, 68–82.</t>
        </is>
      </c>
      <c r="C22" s="81" t="inlineStr">
        <is>
          <t>10.1016/j.gca.2021.04.008</t>
        </is>
      </c>
      <c r="D22" s="113" t="inlineStr">
        <is>
          <t>alt_names; age</t>
        </is>
      </c>
      <c r="E22" s="81" t="n"/>
      <c r="F22" s="113" t="inlineStr">
        <is>
          <t>Peer-reviewed. Metadata confirmed on Crossref (api.crossref.org). The abstract (read on cosmochemistry-papers.com) gives the c. 31 Ma impact age and calls the structure the 'Haughton Dome', c. 24 km across.</t>
        </is>
      </c>
    </row>
    <row r="23" ht="15" customHeight="1" s="62">
      <c r="A23" s="81" t="inlineStr">
        <is>
          <t>haughton-crater-ca</t>
        </is>
      </c>
      <c r="B23" s="113" t="inlineStr">
        <is>
          <t>Wikipedia contributors. Haughton impact crater. Wikipedia (accessed 2026-10-11).</t>
        </is>
      </c>
      <c r="C23" s="81" t="inlineStr">
        <is>
          <t>https://en.wikipedia.org/wiki/Haughton_impact_crater</t>
        </is>
      </c>
      <c r="D23" s="113" t="inlineStr">
        <is>
          <t>alt_names; country_code; region; latitude; longitude; summary; science_relevance; rock_types; age; environment_type_other; biology_present</t>
        </is>
      </c>
      <c r="E23" s="81" t="n"/>
      <c r="F23" s="113" t="inlineStr">
        <is>
          <t>Secondary source. Coordinates (75.383°N, 89.667°W), diameter 23 km, age 31–32 Ma, Devon Island bedrock (Paleozoic shale and siltstone over gneiss), permafrost in the central breccia, Haughton Formation mudstone and siltstone, slow-growing vegetation.</t>
        </is>
      </c>
    </row>
    <row r="24" ht="15" customHeight="1" s="62">
      <c r="A24" s="81" t="inlineStr">
        <is>
          <t>haughton-crater-ca</t>
        </is>
      </c>
      <c r="B24" s="113" t="inlineStr">
        <is>
          <t>Mars Institute (2009). HMP Research Station Land Access. marsonearth.org.</t>
        </is>
      </c>
      <c r="C24" s="81" t="inlineStr">
        <is>
          <t>https://www.marsonearth.org/about/hmp_research_station_land_access.html</t>
        </is>
      </c>
      <c r="D24" s="113" t="inlineStr">
        <is>
          <t>access_level; permits_required; permit_authority; land_status; transport_notes</t>
        </is>
      </c>
      <c r="E24" s="81" t="n"/>
      <c r="F24" s="113" t="inlineStr">
        <is>
          <t>Official source. The site operator's page. The base camp and airstrip sit on a Crown land lease (INAC #58H/7-1-2, 2008–2018; renewal not stated). Nunavut residents and government agencies have access, but other visitors need written permission from the HMP Director. The page is dated 2009.</t>
        </is>
      </c>
    </row>
    <row r="25" ht="15" customHeight="1" s="62">
      <c r="A25" s="81" t="inlineStr">
        <is>
          <t>haughton-crater-ca</t>
        </is>
      </c>
      <c r="B25" s="113" t="inlineStr">
        <is>
          <t>Nunavut Research Institute. Research Authorizations Nunavut (PDF).</t>
        </is>
      </c>
      <c r="C25" s="81" t="inlineStr">
        <is>
          <t>https://nri.nu.ca/sites/default/files/Research_Authorizations_Nunavut.pdf</t>
        </is>
      </c>
      <c r="D25" s="113" t="inlineStr">
        <is>
          <t>access_level; permits_required; permit_authority; sampling_rules</t>
        </is>
      </c>
      <c r="E25" s="81" t="n"/>
      <c r="F25" s="113" t="inlineStr">
        <is>
          <t>Official source. Lists the NRI Scientific Research Licence, Inuit Owned Land access permits (including the Qikiqtani Inuit Association), NIRB screening, GN archaeology and palaeontology permits, CIRNAC Territorial Land Use Permit and Nunavut Water Board licence.</t>
        </is>
      </c>
    </row>
    <row r="26" ht="15" customHeight="1" s="62">
      <c r="A26" s="81" t="inlineStr">
        <is>
          <t>haughton-crater-ca</t>
        </is>
      </c>
      <c r="B26" s="113" t="inlineStr">
        <is>
          <t>Nunatsiaq News (31 August 2001). Grise Fiord wants IIBA for Mars project.</t>
        </is>
      </c>
      <c r="C26" s="81" t="inlineStr">
        <is>
          <t>https://nunatsiaq.com/?p=54008</t>
        </is>
      </c>
      <c r="D26" s="113" t="inlineStr">
        <is>
          <t>coordinate_precision; sensitive_site; land_status</t>
        </is>
      </c>
      <c r="E26" s="81" t="n"/>
      <c r="F26" s="113" t="inlineStr">
        <is>
          <t>Secondary source. States that Inuit-owned land makes up 70% of the area around the crater and that Grise Fiord had barred project members from using it pending an Inuit impact and benefits agreement. This is from 2001 and may be out of date.</t>
        </is>
      </c>
    </row>
    <row r="27" ht="15" customHeight="1" s="62">
      <c r="A27" s="81" t="inlineStr">
        <is>
          <t>haughton-crater-ca</t>
        </is>
      </c>
      <c r="B27" s="113" t="inlineStr">
        <is>
          <t>Western News, Western University (July 2018). Researchers return with shredded tents, bear tales.</t>
        </is>
      </c>
      <c r="C27" s="81" t="inlineStr">
        <is>
          <t>https://news.westernu.ca/2018/07/researchers-return-shredded-tents-bear-tales/</t>
        </is>
      </c>
      <c r="D27" s="113" t="inlineStr">
        <is>
          <t>best_season; hazard_rating; hazards; safety_notes</t>
        </is>
      </c>
      <c r="E27" s="81" t="n"/>
      <c r="F27" s="113" t="inlineStr">
        <is>
          <t>Secondary source. Describes a polar bear raiding the Osinski team's Devon Island camp (at Dundas Harbour, not the crater) in summer, and the safety measures the team used.</t>
        </is>
      </c>
    </row>
    <row r="28" ht="15" customHeight="1" s="62">
      <c r="A28" s="81" t="inlineStr">
        <is>
          <t>haughton-crater-ca</t>
        </is>
      </c>
      <c r="B28" s="113" t="inlineStr">
        <is>
          <t>Mars Institute. Haughton-Mars Project (HMP).</t>
        </is>
      </c>
      <c r="C28" s="81" t="inlineStr">
        <is>
          <t>https://www.marsinstitute.no/hmp</t>
        </is>
      </c>
      <c r="D28" s="113" t="inlineStr">
        <is>
          <t>summary; analogue_for_primary; analogue_for_other; analogue_type_other; target_feature; science_relevance; environment_type_other; access_level; land_status; best_season; transport_notes; hazard_rating; hazards</t>
        </is>
      </c>
      <c r="E28" s="81" t="n"/>
      <c r="F28" s="113" t="inlineStr">
        <is>
          <t>Official source. The project operator's page. Devon Island is the largest uninhabited island, a very cold and dry polar desert. Summer campaigns have run since 1997. Describes the research station, the c. 200 m airstrip, ATVs and the science and exploration programmes (Moon and Mars comparisons). It also gives an outdated 23 Ma age, which is not used here.</t>
        </is>
      </c>
    </row>
    <row r="29" ht="15" customHeight="1" s="62">
      <c r="A29" s="81" t="inlineStr">
        <is>
          <t>haughton-crater-ca</t>
        </is>
      </c>
      <c r="B29" s="113" t="inlineStr">
        <is>
          <t>Government of Nunavut (16 July 2015). Stay safe around polar bears.</t>
        </is>
      </c>
      <c r="C29" s="81" t="inlineStr">
        <is>
          <t>https://www.gov.nu.ca/en/newsroom/stay-safe-around-polar-bears-2015-07-16</t>
        </is>
      </c>
      <c r="D29" s="113" t="inlineStr">
        <is>
          <t>safety_notes</t>
        </is>
      </c>
      <c r="E29" s="81" t="n"/>
      <c r="F29" s="113" t="inlineStr">
        <is>
          <t>Official source. Public safety advice: report sightings to the local wildlife office and keep your distance.</t>
        </is>
      </c>
    </row>
    <row r="30" ht="15" customHeight="1" s="62">
      <c r="A30" s="81" t="inlineStr">
        <is>
          <t>iceland-volcanic-fields-is</t>
        </is>
      </c>
      <c r="B30" s="113" t="inlineStr">
        <is>
          <t>Voigt, J. R. C., Hamilton, C. W., Keszthelyi, L. P., Varnam, M., Hibbard, S. M., &amp; Stack, K. M. (2025). The 2014–2015 Holuhraun lava flow-field in Iceland as a planetary analog for young volcanic terrains in Elysium Planitia, Mars. Planetary Science Journal, 6(4), 81.</t>
        </is>
      </c>
      <c r="C30" s="81" t="inlineStr">
        <is>
          <t>10.3847/PSJ/adb5f1</t>
        </is>
      </c>
      <c r="D30" s="113" t="inlineStr">
        <is>
          <t>summary; analogue_for_primary; analogue_type_primary; analogue_type_other; target_feature; science_relevance; geological_setting; environment_type_primary</t>
        </is>
      </c>
      <c r="E30" s="81" t="n"/>
      <c r="F30" s="113" t="inlineStr">
        <is>
          <t>Peer-reviewed. Title, authors, year and DOI confirmed on the USGS Publications Warehouse (pubs.usgs.gov/publication/70275623) and the University of Arizona experts page. The IOP page was blocked to the fetcher. Compares Holuhraun lava morphologies and fissure systems with Elysium Planitia.</t>
        </is>
      </c>
    </row>
    <row r="31" ht="15" customHeight="1" s="62">
      <c r="A31" s="81" t="inlineStr">
        <is>
          <t>iceland-volcanic-fields-is</t>
        </is>
      </c>
      <c r="B31" s="113" t="inlineStr">
        <is>
          <t>Ehlmann, B. L., Bish, D. L., Ruff, S. W., &amp; Mustard, J. F. (2012). Mineralogy and chemistry of altered Icelandic basalts: Application to clay mineral detection and understanding aqueous environments on Mars. Journal of Geophysical Research: Planets, 117(E11), E00J16.</t>
        </is>
      </c>
      <c r="C31" s="81" t="inlineStr">
        <is>
          <t>10.1029/2012JE004156</t>
        </is>
      </c>
      <c r="D31" s="113" t="inlineStr">
        <is>
          <t>summary; analogue_for_primary; analogue_type_other; target_feature; science_relevance; rock_types</t>
        </is>
      </c>
      <c r="E31" s="81" t="n"/>
      <c r="F31" s="113" t="inlineStr">
        <is>
          <t>Peer-reviewed. Confirmed on the Caltech Authors repository (authors.library.caltech.edu/43941). The AGU page could not be fetched. Covers altered Icelandic basalts and multi-technique detection of hydrous silicates and smectites. The abstract page does not name the sampling localities, so it is not confirmed as Holuhraun- or Krafla-specific.</t>
        </is>
      </c>
    </row>
    <row r="32" ht="15" customHeight="1" s="62">
      <c r="A32" s="81" t="inlineStr">
        <is>
          <t>iceland-volcanic-fields-is</t>
        </is>
      </c>
      <c r="B32" s="113" t="inlineStr">
        <is>
          <t>Vatnajökull National Park. Holuhraun.</t>
        </is>
      </c>
      <c r="C32" s="81" t="inlineStr">
        <is>
          <t>https://www.vatnajokulsthjodgardur.is/en/holuhraun</t>
        </is>
      </c>
      <c r="D32" s="113" t="inlineStr">
        <is>
          <t>region; access_level; permit_authority; land_status; transport_notes; sampling_rules; hazard_rating; hazards; safety_notes</t>
        </is>
      </c>
      <c r="E32" s="81" t="n"/>
      <c r="F32" s="113" t="inlineStr">
        <is>
          <t>Official source. Holuhraun lies in the Askja &amp; Herðubreiðarlindir area of the park, which is now run by the Nature Conservation Agency of Iceland. Access is only on the waymarked trail from the parking lot. The lava is extremely rugged with a thin, fragile crust. Describes the 2014 eruption as Iceland's largest lava eruption in 230 years.</t>
        </is>
      </c>
    </row>
    <row r="33" ht="15" customHeight="1" s="62">
      <c r="A33" s="81" t="inlineStr">
        <is>
          <t>iceland-volcanic-fields-is</t>
        </is>
      </c>
      <c r="B33" s="113" t="inlineStr">
        <is>
          <t>Vegagerðin (Icelandic Road and Coastal Administration). When do mountain roads open?</t>
        </is>
      </c>
      <c r="C33" s="81" t="inlineStr">
        <is>
          <t>https://www.vegagerdin.is/en/the-transportation-system/the-road-system/roads/opening-of-mountain-roads</t>
        </is>
      </c>
      <c r="D33" s="113" t="inlineStr">
        <is>
          <t>access_level; best_season; transport_notes</t>
        </is>
      </c>
      <c r="E33" s="81" t="n"/>
      <c r="F33" s="113" t="inlineStr">
        <is>
          <t>Official source. Highland roads usually open late May to mid-July (2021–2025 table), depending mainly on snow. Roads in conservation areas may stay closed longer. Points to road.is and the 1777 line for conditions.</t>
        </is>
      </c>
    </row>
    <row r="34" ht="15" customHeight="1" s="62">
      <c r="A34" s="81" t="inlineStr">
        <is>
          <t>iceland-volcanic-fields-is</t>
        </is>
      </c>
      <c r="B34" s="113" t="inlineStr">
        <is>
          <t>Wikipedia contributors. Holuhraun. Wikipedia (accessed 2026-10-11).</t>
        </is>
      </c>
      <c r="C34" s="81" t="inlineStr">
        <is>
          <t>https://en.wikipedia.org/wiki/Holuhraun</t>
        </is>
      </c>
      <c r="D34" s="113" t="inlineStr">
        <is>
          <t>alt_names; country_code; region; latitude; longitude; coordinate_precision; extent_km2; summary; age; environment_type_primary; hazard_rating; hazards; safety_notes</t>
        </is>
      </c>
      <c r="E34" s="81" t="n"/>
      <c r="F34" s="113" t="inlineStr">
        <is>
          <t>Secondary source. Coordinates 64.85°N, 16.83°W. The 2014–15 field covers more than 85 km² with a volume of c. 1.6 km³, erupted 29 Aug 2014 – 27 Feb 2015 from fissures. It lies just north of Vatnajökull, about 41 km north-east of Bárðarbunga.</t>
        </is>
      </c>
    </row>
    <row r="35" ht="15" customHeight="1" s="62">
      <c r="A35" s="81" t="inlineStr">
        <is>
          <t>iceland-volcanic-fields-is</t>
        </is>
      </c>
      <c r="B35" s="113" t="inlineStr">
        <is>
          <t>Wikipedia contributors. Krafla. Wikipedia (accessed 2026-10-11).</t>
        </is>
      </c>
      <c r="C35" s="81" t="inlineStr">
        <is>
          <t>https://en.wikipedia.org/wiki/Krafla</t>
        </is>
      </c>
      <c r="D35" s="113" t="inlineStr">
        <is>
          <t>alt_names; region; coordinate_precision; summary; target_feature; geological_setting; rock_types; age; environment_type_other; transport_notes</t>
        </is>
      </c>
      <c r="E35" s="81" t="n"/>
      <c r="F35" s="113" t="inlineStr">
        <is>
          <t>Secondary source. Coordinates 65.733°N, 16.783°W. Caldera c. 10 km with a 90 km fissure zone. Krafla Fires 1975–84. A 60 MWe geothermal station has run since 1977. Rhyolite magma was found at c. 2.1 km depth (IDDP-1).</t>
        </is>
      </c>
    </row>
    <row r="36" ht="15" customHeight="1" s="62">
      <c r="A36" s="81" t="inlineStr">
        <is>
          <t>pilbara-strelley-pool-au</t>
        </is>
      </c>
      <c r="B36" s="113" t="inlineStr">
        <is>
          <t>Allwood, A. C., Walter, M. R., Kamber, B. S., Marshall, C. P. &amp; Burch, I. W. (2006). Stromatolite reef from the Early Archaean era of Australia. Nature, 441, 714–718.</t>
        </is>
      </c>
      <c r="C36" s="81" t="inlineStr">
        <is>
          <t>10.1038/nature04764</t>
        </is>
      </c>
      <c r="D36" s="113" t="inlineStr">
        <is>
          <t>alt_names; summary; analogue_for_primary; analogue_type_primary; target_feature; science_relevance; rock_types; age; biology_present</t>
        </is>
      </c>
      <c r="E36" s="81" t="n"/>
      <c r="F36" s="113" t="inlineStr">
        <is>
          <t>Peer-reviewed. Seven stromatolite morphotypes in the c. 3.43 Ga Strelley Pool Chert; peritidal carbonate platform; argues biogenic origin.</t>
        </is>
      </c>
    </row>
    <row r="37" ht="15" customHeight="1" s="62">
      <c r="A37" s="81" t="inlineStr">
        <is>
          <t>pilbara-strelley-pool-au</t>
        </is>
      </c>
      <c r="B37" s="113" t="inlineStr">
        <is>
          <t>Djokic, T., Van Kranendonk, M. J., Campbell, K. A., Walter, M. R. &amp; Ward, C. R. (2017). Earliest signs of life on land preserved in ca. 3.5 Ga hot spring deposits. Nature Communications, 8, 15263.</t>
        </is>
      </c>
      <c r="C37" s="81" t="inlineStr">
        <is>
          <t>10.1038/ncomms15263</t>
        </is>
      </c>
      <c r="D37" s="113" t="inlineStr">
        <is>
          <t>alt_names; summary; analogue_for_primary; analogue_for_other; analogue_type_primary; analogue_type_other; target_feature; science_relevance; analogue_limitations; geological_setting; rock_types; key_minerals; age; environment_type_primary; biology_present; notable_organisms</t>
        </is>
      </c>
      <c r="E37" s="81" t="n"/>
      <c r="F37" s="113" t="inlineStr">
        <is>
          <t>Peer-reviewed. Dresser Formation geyserite and sinter near the Dresser barite mine, North Pole Dome; minerals; explicit Mars hot-spring analogue.</t>
        </is>
      </c>
    </row>
    <row r="38" ht="15" customHeight="1" s="62">
      <c r="A38" s="81" t="inlineStr">
        <is>
          <t>pilbara-strelley-pool-au</t>
        </is>
      </c>
      <c r="B38" s="113" t="inlineStr">
        <is>
          <t>Allwood, A. C., Kamber, B. S., Walter, M. R., Burch, I. W. &amp; Kanik, I. (2010). Trace elements record depositional history of an Early Archean stromatolitic carbonate platform. Chemical Geology, 270, 148–163.</t>
        </is>
      </c>
      <c r="C38" s="81" t="inlineStr">
        <is>
          <t>10.1016/j.chemgeo.2009.11.013</t>
        </is>
      </c>
      <c r="D38" s="113" t="inlineStr">
        <is>
          <t>analogue_type_other; analogue_limitations; rock_types; key_minerals</t>
        </is>
      </c>
      <c r="E38" s="81" t="n"/>
      <c r="F38" s="113" t="inlineStr">
        <is>
          <t>Peer-reviewed. Strelley Pool rock types and mineralogy (dolomite, chert, hematite laminae); Trendall locality. DOI read from the full-text PDF, not opened via doi.org.</t>
        </is>
      </c>
    </row>
    <row r="39" ht="15" customHeight="1" s="62">
      <c r="A39" s="81" t="inlineStr">
        <is>
          <t>pilbara-strelley-pool-au</t>
        </is>
      </c>
      <c r="B39" s="113" t="inlineStr">
        <is>
          <t>Heritage Council of Western Australia, inHerit database. Strelley Pool (Place No. 04446).</t>
        </is>
      </c>
      <c r="C39" s="81" t="inlineStr">
        <is>
          <t>https://inherit.dplh.wa.gov.au/Public/Inventory/PrintSingleRecord/b0967a81-a707-4939-a35c-77e8d367994e</t>
        </is>
      </c>
      <c r="D39" s="113" t="inlineStr">
        <is>
          <t>alt_names; region; sensitive_site; rock_types; age; environment_type_other; nearest_town; transport_notes; sampling_rules; hazards; access_level; country_code</t>
        </is>
      </c>
      <c r="E39" s="81" t="n"/>
      <c r="F39" s="113" t="inlineStr">
        <is>
          <t>Official source. Location 34 km W of Marble Bar on Six Mile Creek; c. 3420 Ma chert; likely hypersaline shallow water; National Trust classified; Mars relevance noted.</t>
        </is>
      </c>
    </row>
    <row r="40" ht="15" customHeight="1" s="62">
      <c r="A40" s="81" t="inlineStr">
        <is>
          <t>pilbara-strelley-pool-au</t>
        </is>
      </c>
      <c r="B40" s="113" t="inlineStr">
        <is>
          <t>Duda, J.-P., Van Kranendonk, M. J., Thiel, V., Ionescu, D., Strauss, H., Schäfer, N. &amp; Reitner, J. (2016). A rare glimpse of Paleoarchean life: geobiology of an exceptionally preserved microbial mat facies from the 3.4 Ga Strelley Pool Formation, Western Australia. PLoS ONE, 11(1), e0147629.</t>
        </is>
      </c>
      <c r="C40" s="81" t="inlineStr">
        <is>
          <t>10.1371/journal.pone.0147629</t>
        </is>
      </c>
      <c r="D40" s="113" t="inlineStr">
        <is>
          <t>latitude; longitude; coordinate_precision; biology_present; notable_organisms; permits_required; permit_authority; sampling_rules; access_level</t>
        </is>
      </c>
      <c r="E40" s="81" t="n"/>
      <c r="F40" s="113" t="inlineStr">
        <is>
          <t>Peer-reviewed. Gives coordinates 21°12'24.76"S, 119°18'27.70"E for the section opposite the Trendall locality across the Shaw River; GSWA fieldwork permits. Opened on PMC.</t>
        </is>
      </c>
    </row>
    <row r="41" ht="15" customHeight="1" s="62">
      <c r="A41" s="81" t="inlineStr">
        <is>
          <t>pilbara-strelley-pool-au</t>
        </is>
      </c>
      <c r="B41" s="113" t="inlineStr">
        <is>
          <t>Wikipedia. Dresser Formation.</t>
        </is>
      </c>
      <c r="C41" s="81" t="inlineStr">
        <is>
          <t>https://en.wikipedia.org/wiki/Dresser_Formation</t>
        </is>
      </c>
      <c r="D41" s="113" t="inlineStr">
        <is>
          <t>alt_names; coordinate_precision; geological_setting; rock_types; key_minerals; age</t>
        </is>
      </c>
      <c r="E41" s="81" t="n"/>
      <c r="F41" s="113" t="inlineStr">
        <is>
          <t>Secondary source. Coordinates -21.152, 119.437; ages, rock types and minerals; North Pole Dome, Panorama greenstone belt; extent c. 25 km².</t>
        </is>
      </c>
    </row>
    <row r="42" ht="15" customHeight="1" s="62">
      <c r="A42" s="81" t="inlineStr">
        <is>
          <t>pilbara-strelley-pool-au</t>
        </is>
      </c>
      <c r="B42" s="113" t="inlineStr">
        <is>
          <t>Federal Court of Australia (2019). Nyamal People #10 native title determination, [2019] FCA 1571.</t>
        </is>
      </c>
      <c r="C42" s="81" t="inlineStr">
        <is>
          <t>https://www.judgments.fedcourt.gov.au/judgments/Judgments/fca/single/2019/2019fca1571</t>
        </is>
      </c>
      <c r="D42" s="113" t="inlineStr">
        <is>
          <t>sensitive_site; permit_authority; land_status</t>
        </is>
      </c>
      <c r="E42" s="81" t="n"/>
      <c r="F42" s="113" t="inlineStr">
        <is>
          <t>Official source. Nyamal determination over c. 4,394 km² of central Pilbara (Strelley and Coongan pastoral leases); does not name Strelley Pool or Dresser Mine, so coverage of the sites is unconfirmed.</t>
        </is>
      </c>
    </row>
    <row r="43" ht="15" customHeight="1" s="62">
      <c r="A43" s="81" t="inlineStr">
        <is>
          <t>pilbara-strelley-pool-au</t>
        </is>
      </c>
      <c r="B43" s="113" t="inlineStr">
        <is>
          <t>Brown, A. J., Viviano, C. E. &amp; Goudge, T. A. (2020). Mars 2020 team using Australian rocks in search for life on Mars. Eos, 2 July 2020.</t>
        </is>
      </c>
      <c r="C43" s="81" t="inlineStr">
        <is>
          <t>https://eos.org/features/mars-2020-team-using-australian-rocks-in-search-for-life-on-mars</t>
        </is>
      </c>
      <c r="D43" s="113" t="inlineStr">
        <is>
          <t>summary; analogue_for_other; analogue_type_other; science_relevance</t>
        </is>
      </c>
      <c r="E43" s="81" t="n"/>
      <c r="F43" s="113" t="inlineStr">
        <is>
          <t>Secondary source. Compares Jezero olivine-carbonate unit with Pilbara Mount Ada Basalt and Strelley Pool stromatolites; Trendall locality fieldwork.</t>
        </is>
      </c>
    </row>
    <row r="44" ht="15" customHeight="1" s="62">
      <c r="A44" s="81" t="inlineStr">
        <is>
          <t>pilbara-strelley-pool-au</t>
        </is>
      </c>
      <c r="B44" s="113" t="inlineStr">
        <is>
          <t>Wikipedia. Marble Bar, Western Australia.</t>
        </is>
      </c>
      <c r="C44" s="81" t="inlineStr">
        <is>
          <t>https://en.wikipedia.org/wiki/Marble_Bar,_Western_Australia</t>
        </is>
      </c>
      <c r="D44" s="113" t="inlineStr">
        <is>
          <t>analogue_limitations; best_season; transport_notes; hazard_rating; hazards; safety_notes; access_level</t>
        </is>
      </c>
      <c r="E44" s="81" t="n"/>
      <c r="F44" s="113" t="inlineStr">
        <is>
          <t>Secondary source. Climate (record heat, hottest/coolest months, cyclone rain), distance from Port Hedland; mentions dispute over small conical Strelley Pool structures.</t>
        </is>
      </c>
    </row>
    <row r="45" ht="15" customHeight="1" s="62">
      <c r="A45" s="81" t="inlineStr">
        <is>
          <t>shark-bay-hamelin-pool-au</t>
        </is>
      </c>
      <c r="B45" s="113" t="inlineStr">
        <is>
          <t>Babilonia, J., Conesa, A., Casaburi, G., Pereira, C., Louyakis, A. S., Reid, R. P. &amp; Foster, J. S. (2018). Comparative metagenomics provides insight into the ecosystem functioning of the Shark Bay stromatolites, Western Australia. Frontiers in Microbiology, 9, 1359.</t>
        </is>
      </c>
      <c r="C45" s="81" t="inlineStr">
        <is>
          <t>10.3389/fmicb.2018.01359</t>
        </is>
      </c>
      <c r="D45" s="113" t="inlineStr">
        <is>
          <t>summary; analogue_for_primary; analogue_type_primary; analogue_type_other; target_feature; science_relevance; analogue_limitations; environment_type_primary; temp_min_c; temp_max_c; salinity; biology_present; notable_organisms; permits_required; permit_authority</t>
        </is>
      </c>
      <c r="E45" s="81" t="n"/>
      <c r="F45" s="113" t="inlineStr">
        <is>
          <t>Peer-reviewed. Spaven Province, Hamelin Pool; salinity, temperature, pH (annual mean 8.1); mat taxa; permits from WA Dept of Parks and Wildlife and federal department. Opened on publisher page.</t>
        </is>
      </c>
    </row>
    <row r="46" ht="15" customHeight="1" s="62">
      <c r="A46" s="81" t="inlineStr">
        <is>
          <t>shark-bay-hamelin-pool-au</t>
        </is>
      </c>
      <c r="B46" s="113" t="inlineStr">
        <is>
          <t>DBCA Explore Parks WA. Hamelin Pool stromatolites (site page).</t>
        </is>
      </c>
      <c r="C46" s="81" t="inlineStr">
        <is>
          <t>https://exploreparks.dbca.wa.gov.au/site/hamelin-pool-stromatolites</t>
        </is>
      </c>
      <c r="D46" s="113" t="inlineStr">
        <is>
          <t>alt_names; land_status; nearest_town; sampling_rules; hazard_rating; hazards; safety_notes</t>
        </is>
      </c>
      <c r="E46" s="81" t="n"/>
      <c r="F46" s="113" t="inlineStr">
        <is>
          <t>Official source. c. 100 km SE of Denham, 35 km from Overlander Roadhouse; Malgana Traditional Owners; no walking below high-water mark; boardwalk closed after Cyclone Seroja; PLB advice.</t>
        </is>
      </c>
    </row>
    <row r="47" ht="15" customHeight="1" s="62">
      <c r="A47" s="81" t="inlineStr">
        <is>
          <t>shark-bay-hamelin-pool-au</t>
        </is>
      </c>
      <c r="B47" s="113" t="inlineStr">
        <is>
          <t>DBCA Explore Parks WA. Hamelin Pool Marine Nature Reserve (park page).</t>
        </is>
      </c>
      <c r="C47" s="81" t="inlineStr">
        <is>
          <t>https://exploreparks.dbca.wa.gov.au/park/hamelin-pool-marine-nature-reserve</t>
        </is>
      </c>
      <c r="D47" s="113" t="inlineStr">
        <is>
          <t>alt_names; region; sensitive_site; summary; analogue_for_primary; rock_types; environment_type_primary; salinity; land_status; sampling_rules; country_code</t>
        </is>
      </c>
      <c r="E47" s="81" t="n"/>
      <c r="F47" s="113" t="inlineStr">
        <is>
          <t>Official source. Part of Shark Bay World Heritage Area; Malgana acknowledged as Traditional Owners; seawater about twice as salty as usual; 300 m no-boating/swimming rule.</t>
        </is>
      </c>
    </row>
    <row r="48" ht="15" customHeight="1" s="62">
      <c r="A48" s="81" t="inlineStr">
        <is>
          <t>shark-bay-hamelin-pool-au</t>
        </is>
      </c>
      <c r="B48" s="113" t="inlineStr">
        <is>
          <t>Shark Bay World Heritage (sharkbay.org). Hamelin Pool.</t>
        </is>
      </c>
      <c r="C48" s="81" t="inlineStr">
        <is>
          <t>https://www.sharkbay.org/place/hamelin-pool/</t>
        </is>
      </c>
      <c r="D48" s="113" t="inlineStr">
        <is>
          <t>region; summary; target_feature; geological_setting; rock_types; access_level; transport_notes</t>
        </is>
      </c>
      <c r="E48" s="81" t="n"/>
      <c r="F48" s="113" t="inlineStr">
        <is>
          <t>Official source. Most diverse and abundant stromatolites; 200 m boardwalk, stay on boardwalk; road access details; coquina quarry.</t>
        </is>
      </c>
    </row>
    <row r="49" ht="15" customHeight="1" s="62">
      <c r="A49" s="81" t="inlineStr">
        <is>
          <t>shark-bay-hamelin-pool-au</t>
        </is>
      </c>
      <c r="B49" s="113" t="inlineStr">
        <is>
          <t>Wikipedia. Hamelin Pool Marine Nature Reserve.</t>
        </is>
      </c>
      <c r="C49" s="81" t="inlineStr">
        <is>
          <t>https://en.wikipedia.org/wiki/Hamelin_Pool_Marine_Nature_Reserve</t>
        </is>
      </c>
      <c r="D49" s="113" t="inlineStr">
        <is>
          <t>latitude; longitude; extent_km2</t>
        </is>
      </c>
      <c r="E49" s="81" t="n"/>
      <c r="F49" s="113" t="inlineStr">
        <is>
          <t>Secondary source. Coordinates -26.441, 114.349; area 1,270 km².</t>
        </is>
      </c>
    </row>
    <row r="50" ht="15" customHeight="1" s="62">
      <c r="A50" s="81" t="inlineStr">
        <is>
          <t>shark-bay-hamelin-pool-au</t>
        </is>
      </c>
      <c r="B50" s="113" t="inlineStr">
        <is>
          <t>DBCA. Hamelin Pool boardwalk project.</t>
        </is>
      </c>
      <c r="C50" s="81" t="inlineStr">
        <is>
          <t>https://www.dbca.wa.gov.au/park-projects/hamelin-pool-boardwalk-project</t>
        </is>
      </c>
      <c r="D50" s="113" t="inlineStr">
        <is>
          <t>sensitive_site; access_level; permits_required; permit_authority; sampling_rules; safety_notes</t>
        </is>
      </c>
      <c r="E50" s="81" t="n"/>
      <c r="F50" s="113" t="inlineStr">
        <is>
          <t>Official source. Boardwalk closed and to be replaced ($4.6 million); access limited by barriers and patrols; scientific access requires a conditional licence; drone rules.</t>
        </is>
      </c>
    </row>
    <row r="51" ht="15" customHeight="1" s="62">
      <c r="A51" s="81" t="inlineStr">
        <is>
          <t>arkaroola-au</t>
        </is>
      </c>
      <c r="B51" s="113" t="inlineStr">
        <is>
          <t>Thomas, M. &amp; Walter, M. R. (2002). Application of hyperspectral infrared analysis of hydrothermal alteration on Earth and Mars. Astrobiology, 2(3), 335–351.</t>
        </is>
      </c>
      <c r="C51" s="81" t="inlineStr">
        <is>
          <t>10.1089/153110702762027916</t>
        </is>
      </c>
      <c r="D51" s="113" t="inlineStr">
        <is>
          <t>alt_names; analogue_for_primary; analogue_type_primary; target_feature; science_relevance; geological_setting; key_minerals; age</t>
        </is>
      </c>
      <c r="E51" s="81" t="n"/>
      <c r="F51" s="113" t="inlineStr">
        <is>
          <t>Peer-reviewed. DOI, title, authors, year and pages confirmed on the ANU research portal. The Macquarie University portal confirmed the same metadata and abstract; the Crossref fetch was rate-limited. SWIR hyperspectral mapping of hydrothermal alteration (kaolinite, muscovite, biotite, K-feldspar; tentatively halloysite) in the central Mount Painter Inlier and Paralana Fault zone, tentatively Permo-Carboniferous, as a method for Mars. The abstract does not use the name 'Arkaroola'.</t>
        </is>
      </c>
    </row>
    <row r="52" ht="15" customHeight="1" s="62">
      <c r="A52" s="81" t="inlineStr">
        <is>
          <t>arkaroola-au</t>
        </is>
      </c>
      <c r="B52" s="113" t="inlineStr">
        <is>
          <t>Clarke, J. D. A. &amp; Willson, D. (undated). Arkaroola geology information leaflet. Mars Society Australia.</t>
        </is>
      </c>
      <c r="C52" s="81" t="inlineStr">
        <is>
          <t>https://www.marssociety.org.au/sites/default/files/library/Arkaroola_geology_information_leaflet.pdf</t>
        </is>
      </c>
      <c r="D52" s="113" t="inlineStr">
        <is>
          <t>summary; analogue_for_primary; analogue_type_other; target_feature; science_relevance; geological_setting; rock_types; key_minerals; age; environment_type_primary; temp_max_c; land_status; transport_notes; access_level</t>
        </is>
      </c>
      <c r="E52" s="81" t="n"/>
      <c r="F52" s="113" t="inlineStr">
        <is>
          <t>Secondary source. States that Mars Society Australia chose the region as its main Mars analogue research area. Paralana radioactive hot spring at about 80 °C. Rock units and ages; a 650 Ma stromatolite; sandstone similar to Meridiani Planum samples. Central area is private leasehold held as a wilderness sanctuary; lessees support research. About 8 h by road from Adelaide.</t>
        </is>
      </c>
    </row>
    <row r="53" ht="15" customHeight="1" s="62">
      <c r="A53" s="81" t="inlineStr">
        <is>
          <t>arkaroola-au</t>
        </is>
      </c>
      <c r="B53" s="113" t="inlineStr">
        <is>
          <t>Arkaroola Wilderness Sanctuary (2026). Arkaroola Wilderness Sanctuary – home page.</t>
        </is>
      </c>
      <c r="C53" s="81" t="inlineStr">
        <is>
          <t>https://www.arkaroola.com.au/</t>
        </is>
      </c>
      <c r="D53" s="113" t="inlineStr">
        <is>
          <t>alt_names; region; extent_km2; summary; transport_notes; access_level</t>
        </is>
      </c>
      <c r="E53" s="81" t="n"/>
      <c r="F53" s="113" t="inlineStr">
        <is>
          <t>Official source. Operator page. A 610 km² sanctuary about 600 km north of Adelaide, founded by the Sprigg family in 1968. Guided 4WD tours (Ridgetop) and self-drive tracks; emphasis on science and conservation. No land-status or permit details.</t>
        </is>
      </c>
    </row>
    <row r="54" ht="15" customHeight="1" s="62">
      <c r="A54" s="81" t="inlineStr">
        <is>
          <t>arkaroola-au</t>
        </is>
      </c>
      <c r="B54" s="113" t="inlineStr">
        <is>
          <t>Wikipedia contributors. Arkaroola; Arkaroola Protection Area. Wikipedia (accessed 11 October 2026).</t>
        </is>
      </c>
      <c r="C54" s="81" t="inlineStr">
        <is>
          <t>https://en.wikipedia.org/wiki/Arkaroola</t>
        </is>
      </c>
      <c r="D54" s="113" t="inlineStr">
        <is>
          <t>alt_names; region; latitude; longitude; extent_km2; target_feature; rock_types; environment_type_primary; biology_present; notable_organisms; land_status; transport_notes; hazard_rating; hazards; safety_notes</t>
        </is>
      </c>
      <c r="E54" s="81" t="n"/>
      <c r="F54" s="113" t="inlineStr">
        <is>
          <t>Secondary source. Coordinates 30°18′42″S 139°20′10″E. Freehold and pastoral lease sanctuary; Arkaroola Protection Act 2012 bans mining (Protection Area about 590 km², managed by SA Department for Environment and Water). Adnyamathanha traditional country. Paralana springs on Wooltana Station with CO2, N2, radon and helium; algal mat; radon health hazard.</t>
        </is>
      </c>
    </row>
    <row r="55" ht="15" customHeight="1" s="62">
      <c r="A55" s="81" t="inlineStr">
        <is>
          <t>arkaroola-au</t>
        </is>
      </c>
      <c r="B55" s="113" t="inlineStr">
        <is>
          <t>Wikipedia contributors. Mount Gee. Wikipedia (accessed 11 October 2026).</t>
        </is>
      </c>
      <c r="C55" s="81" t="inlineStr">
        <is>
          <t>https://en.wikipedia.org/wiki/Mount_Gee</t>
        </is>
      </c>
      <c r="D55" s="113" t="inlineStr">
        <is>
          <t>summary; target_feature; geological_setting; rock_types; age; altitude_max_m</t>
        </is>
      </c>
      <c r="E55" s="81" t="n"/>
      <c r="F55" s="113" t="inlineStr">
        <is>
          <t>Secondary source. Mount Gee at 30.227°S 139.344°E, 640 m AHD. Quartz-crystal crush breccias; fossil geyser 'plumbing system' with Paralana Hot Springs as a remnant; Mesoproterozoic rocks; breccia-complex uranium.</t>
        </is>
      </c>
    </row>
    <row r="56" ht="15" customHeight="1" s="62">
      <c r="A56" s="81" t="inlineStr">
        <is>
          <t>lanzarote-es</t>
        </is>
      </c>
      <c r="B56" s="113" t="inlineStr">
        <is>
          <t>Palma, V., González-Pimentel, J.L., Jimenez-Morillo, N.T., Sauro, F., Gutiérrez-Patricio, S., De la Rosa, J.M., Tomasi, I., Massironi, M., Onac, B.P., Tiago, I., González-Pérez, J.A., Laiz, L., Caldeira, A.T., Cubero, B. &amp; Miller, A.Z. (2024). Connecting molecular biomarkers, mineralogical composition, and microbial diversity from Mars analog lava tubes. Science of the Total Environment, 913, 169583.</t>
        </is>
      </c>
      <c r="C56" s="81" t="inlineStr">
        <is>
          <t>10.1016/j.scitotenv.2023.169583</t>
        </is>
      </c>
      <c r="D56" s="113" t="inlineStr">
        <is>
          <t>region; summary; analogue_for_primary; analogue_type_primary; analogue_type_other; target_feature; science_relevance; geological_setting; key_minerals; environment_type_primary; environment_type_other; biology_present; notable_organisms</t>
        </is>
      </c>
      <c r="E56" s="81" t="n"/>
      <c r="F56" s="113" t="inlineStr">
        <is>
          <t>Peer-reviewed. Verified on PubMed. Four Lanzarote lava tubes (Cueva de los Naturalistas, Paso Esqueleto, Las Breñas, Montaña Rajada); secondary minerals calcite, fluorapatite, gypsum, halite, opal; halophilic/halotolerant bacteria; Crossiella-linked fluorapatite biosignatures.</t>
        </is>
      </c>
    </row>
    <row r="57" ht="15" customHeight="1" s="62">
      <c r="A57" s="81" t="inlineStr">
        <is>
          <t>lanzarote-es</t>
        </is>
      </c>
      <c r="B57" s="113" t="inlineStr">
        <is>
          <t>The microbial inhabitants of the Corona lava tube: astrobiological insights from a Mars analog environment. Astrobiology (2026, via SAGE/PubMed 41572783).</t>
        </is>
      </c>
      <c r="C57" s="81" t="inlineStr">
        <is>
          <t>10.1177/15311074251413229</t>
        </is>
      </c>
      <c r="D57" s="113" t="inlineStr">
        <is>
          <t>summary; analogue_type_other; target_feature; environment_type_primary; biology_present; notable_organisms</t>
        </is>
      </c>
      <c r="E57" s="81" t="n"/>
      <c r="F57" s="113" t="inlineStr">
        <is>
          <t>Peer-reviewed. DOI NOT VERIFIED: check before citing. Seen only via an Astrobiology.com summary; authors, volume and pages not confirmed. Gypsum with minor halite; Salinisphaera, Alcanivorax, Alicyclobacillus.</t>
        </is>
      </c>
    </row>
    <row r="58" ht="15" customHeight="1" s="62">
      <c r="A58" s="81" t="inlineStr">
        <is>
          <t>lanzarote-es</t>
        </is>
      </c>
      <c r="B58" s="113" t="inlineStr">
        <is>
          <t>Lanzarote and Chinijo Islands UNESCO Global Geopark. Physical geography.</t>
        </is>
      </c>
      <c r="C58" s="81" t="inlineStr">
        <is>
          <t>https://geoparquelanzarote.org/?p=1931</t>
        </is>
      </c>
      <c r="D58" s="113" t="inlineStr">
        <is>
          <t>alt_names; country_code; region; latitude; longitude; coordinate_precision; extent_km2; geological_setting; age; altitude_max_m; permit_authority; land_status</t>
        </is>
      </c>
      <c r="E58" s="81" t="n"/>
      <c r="F58" s="113" t="inlineStr">
        <is>
          <t>Official source. UNESCO Global Geopark 2015; Biosphere Reserve October 1993; &gt;15 Ma of geological processes; 886.85 km² landmass; highest point Peñas del Chache 671 m; coordinates 29°02′21″N 13°38′15″W.</t>
        </is>
      </c>
    </row>
    <row r="59" ht="15" customHeight="1" s="62">
      <c r="A59" s="81" t="inlineStr">
        <is>
          <t>lanzarote-es</t>
        </is>
      </c>
      <c r="B59" s="113" t="inlineStr">
        <is>
          <t>Organismo Autónomo Parques Nacionales / MITECO. Guía del visitante: Parque Nacional de Timanfaya (PDF).</t>
        </is>
      </c>
      <c r="C59" s="81" t="inlineStr">
        <is>
          <t>https://www.miteco.gob.es/content/dam/miteco/es/parques-nacionales-oapn/red-parques-nacionales/parques-nacionales/guia-timanfaya_tcm30-67887.pdf</t>
        </is>
      </c>
      <c r="D59" s="113" t="inlineStr">
        <is>
          <t>alt_names; summary; age; environment_type_other; notable_organisms; access_level; permits_required; permit_authority; land_status; nearest_town; transport_notes; sampling_rules; hazard_rating; hazards; safety_notes</t>
        </is>
      </c>
      <c r="E59" s="81" t="n"/>
      <c r="F59" s="113" t="inlineStr">
        <is>
          <t>Official source. 51.07 km² park (Decree 2615/1974); eruptions 1730–1736 and 1824; Biosphere Reserve, ZEPA, Natura 2000; access by LZ-67, Islote de Hilario, Cabildo bus, booked guided walks; rules on staying in public-use areas; reserve zone for science only; geothermal temperatures.</t>
        </is>
      </c>
    </row>
    <row r="60" ht="15" customHeight="1" s="62">
      <c r="A60" s="81" t="inlineStr">
        <is>
          <t>lanzarote-es</t>
        </is>
      </c>
      <c r="B60" s="113" t="inlineStr">
        <is>
          <t>European Space Agency (2017). Pangaea training in Lanzarote.</t>
        </is>
      </c>
      <c r="C60" s="81" t="inlineStr">
        <is>
          <t>https://www.esa.int/ESA_Multimedia/Images/2017/11/Pangaea_training_in_Lanzarote</t>
        </is>
      </c>
      <c r="D60" s="113" t="inlineStr">
        <is>
          <t>summary; analogue_for_primary; analogue_for_other; analogue_type_other; target_feature; science_relevance</t>
        </is>
      </c>
      <c r="E60" s="81" t="n"/>
      <c r="F60" s="113" t="inlineStr">
        <is>
          <t>Official source. ESA PANGAEA astronaut geology training; 2016 crew exercise in Lanzarote; volcanic–water interaction; planetary analogue landscape.</t>
        </is>
      </c>
    </row>
    <row r="61" ht="15" customHeight="1" s="62">
      <c r="A61" s="81" t="inlineStr">
        <is>
          <t>lanzarote-es</t>
        </is>
      </c>
      <c r="B61" s="113" t="inlineStr">
        <is>
          <t>MITECO. Timanfaya: Accesos.</t>
        </is>
      </c>
      <c r="C61" s="81" t="inlineStr">
        <is>
          <t>https://www.miteco.gob.es/en/red-parques-nacionales/nuestros-parques/timanfaya/guia-visitante/mapa-accesos.html</t>
        </is>
      </c>
      <c r="D61" s="113" t="inlineStr">
        <is>
          <t>nearest_town</t>
        </is>
      </c>
      <c r="E61" s="81" t="n"/>
      <c r="F61" s="113" t="inlineStr">
        <is>
          <t>Official source. Road routes from Arrecife, Puerto del Carmen and Costa Teguise; Mancha Blanca visitor centre; free access only to the coastal path.</t>
        </is>
      </c>
    </row>
    <row r="62" ht="15" customHeight="1" s="62">
      <c r="A62" s="81" t="inlineStr">
        <is>
          <t>bockfjord-svalbard-sj</t>
        </is>
      </c>
      <c r="B62" s="113" t="inlineStr">
        <is>
          <t>Steele, A., Fries, M. D., Amundsen, H. E. F., Mysen, B. O., Fogel, M. L., Schweizer, M., &amp; Boctor, N. Z. (2007). Comprehensive imaging and Raman spectroscopy of carbonate globules from Martian meteorite ALH 84001 and a terrestrial analogue from Svalbard. Meteoritics &amp; Planetary Science, 42(9), 1549–1566.</t>
        </is>
      </c>
      <c r="C62" s="81" t="inlineStr">
        <is>
          <t>10.1111/j.1945-5100.2007.tb00590.x</t>
        </is>
      </c>
      <c r="D62" s="113" t="inlineStr">
        <is>
          <t>alt_names; summary; analogue_for_primary; analogue_type_primary; analogue_type_other; target_feature; science_relevance; key_minerals; environment_type_primary</t>
        </is>
      </c>
      <c r="E62" s="81" t="n"/>
      <c r="F62" s="113" t="inlineStr">
        <is>
          <t>Peer-reviewed. Title, authors, year, pages and DOI confirmed on the University of Arizona repository record (repository.arizona.edu/handle/10150/656327), which hosts the M&amp;PS archive. Compares Bockfjorden carbonate globules with ALH84001. Macromolecular carbon is found with magnetite in both sample sets. Favours a low-temperature hydrothermal origin.</t>
        </is>
      </c>
    </row>
    <row r="63" ht="15" customHeight="1" s="62">
      <c r="A63" s="81" t="inlineStr">
        <is>
          <t>bockfjord-svalbard-sj</t>
        </is>
      </c>
      <c r="B63" s="113" t="inlineStr">
        <is>
          <t>Amundsen, H. E. F., Benning, L., Blake, D. F., Fogel, M., Ming, D., Skidmore, M., &amp; Steele, A. (2011). Cryogenic origin for Mars analog carbonates in the Bockfjord Volcanic Complex, Svalbard (Norway). 42nd Lunar and Planetary Science Conference, abstract (NASA NTRS 20110008112).</t>
        </is>
      </c>
      <c r="C63" s="81" t="inlineStr">
        <is>
          <t>https://ntrs.nasa.gov/citations/20110008112</t>
        </is>
      </c>
      <c r="D63" s="113" t="inlineStr">
        <is>
          <t>alt_names; coordinate_precision; summary; analogue_for_primary; analogue_type_primary; analogue_type_other; target_feature; science_relevance; geological_setting; rock_types; key_minerals; age; environment_type_other</t>
        </is>
      </c>
      <c r="E63" s="81" t="n"/>
      <c r="F63" s="113" t="inlineStr">
        <is>
          <t>Secondary source. Conference abstract, not peer-reviewed. Sverrefjell and Sigurdfjell formed in subglacial eruptions c. 1 Ma. Describes dolomite–magnesite globules, vent magnesite reaching into blue ice and breccia cements (calcite, dolomite, huntite, magnesite, aragonite), and compares them with the Comanche carbonates at Gusev.</t>
        </is>
      </c>
    </row>
    <row r="64" ht="15" customHeight="1" s="62">
      <c r="A64" s="81" t="inlineStr">
        <is>
          <t>bockfjord-svalbard-sj</t>
        </is>
      </c>
      <c r="B64" s="113" t="inlineStr">
        <is>
          <t>NASA Astrobiology Institute (2010). Annual Science Report: Carnegie Institution of Washington, Project 6, Application of laboratory experimentation to flight instrument testing.</t>
        </is>
      </c>
      <c r="C64" s="81" t="inlineStr">
        <is>
          <t>https://astrobiology.nasa.gov/nai/annual-reports/2010/ciw/project-6-application-of-laboratory-experimentation-to-flight-instrument-testing/index.html</t>
        </is>
      </c>
      <c r="D64" s="113" t="inlineStr">
        <is>
          <t>summary; analogue_for_primary; analogue_type_other; science_relevance; rock_types; best_season</t>
        </is>
      </c>
      <c r="E64" s="81" t="n"/>
      <c r="F64" s="113" t="inlineStr">
        <is>
          <t>Secondary source. Describes AMASE's aims and the instruments tested (MSL SAM and CheMin; ExoMars MoMA GC, CLUPI, Raman/LIBS, PanCam). Sigurdfjell outcrops include carbonate, basalt and peridotite, plus a fossil methane cold seep. Fieldwork took place in August.</t>
        </is>
      </c>
    </row>
    <row r="65" ht="15" customHeight="1" s="62">
      <c r="A65" s="81" t="inlineStr">
        <is>
          <t>bockfjord-svalbard-sj</t>
        </is>
      </c>
      <c r="B65" s="113" t="inlineStr">
        <is>
          <t>Governor of Svalbard (Sysselmesteren). Guidelines for researchers in Svalbard.</t>
        </is>
      </c>
      <c r="C65" s="81" t="inlineStr">
        <is>
          <t>https://sysselmesteren.no/en/researchers/guidelines-for-researchers-in-svalbard</t>
        </is>
      </c>
      <c r="D65" s="113" t="inlineStr">
        <is>
          <t>access_level; permits_required; permit_authority; sampling_rules; hazard_rating; hazards; safety_notes</t>
        </is>
      </c>
      <c r="E65" s="81" t="n"/>
      <c r="F65" s="113" t="inlineStr">
        <is>
          <t>Official source. Covers RiS registration, application deadlines, the Svalbard Environmental Protection Act, national park exemptions, rules for collecting stones and fossils, cultural heritage, mandatory polar bear camp security and the emergency beacon outside Management Area 10.</t>
        </is>
      </c>
    </row>
    <row r="66" ht="15" customHeight="1" s="62">
      <c r="A66" s="81" t="inlineStr">
        <is>
          <t>bockfjord-svalbard-sj</t>
        </is>
      </c>
      <c r="B66" s="113" t="inlineStr">
        <is>
          <t>Governor of Svalbard (Sysselmesteren). Weapons.</t>
        </is>
      </c>
      <c r="C66" s="81" t="inlineStr">
        <is>
          <t>https://sysselmesteren.no/en/weapon</t>
        </is>
      </c>
      <c r="D66" s="113" t="inlineStr">
        <is>
          <t>hazard_rating; hazards; safety_notes</t>
        </is>
      </c>
      <c r="E66" s="81" t="n"/>
      <c r="F66" s="113" t="inlineStr">
        <is>
          <t>Official source. Anyone travelling outside settlements must carry suitable means of scaring off polar bears. A firearm is recommended.</t>
        </is>
      </c>
    </row>
    <row r="67" ht="15" customHeight="1" s="62">
      <c r="A67" s="81" t="inlineStr">
        <is>
          <t>bockfjord-svalbard-sj</t>
        </is>
      </c>
      <c r="B67" s="113" t="inlineStr">
        <is>
          <t>Wikipedia contributors. Sverrefjellet. Wikipedia (accessed 2026-10-11).</t>
        </is>
      </c>
      <c r="C67" s="81" t="inlineStr">
        <is>
          <t>https://en.wikipedia.org/wiki/Sverrefjellet</t>
        </is>
      </c>
      <c r="D67" s="113" t="inlineStr">
        <is>
          <t>alt_names; country_code; region; latitude; longitude; altitude_max_m; summary; target_feature; geological_setting; rock_types; key_minerals; age; environment_type_primary; temp_max_c</t>
        </is>
      </c>
      <c r="E67" s="81" t="n"/>
      <c r="F67" s="113" t="inlineStr">
        <is>
          <t>Secondary source. Coordinates 79.4317°N, 13.3050°E; elevation 507 m. Basalt with olivine and allophane-bearing soil. Formed c. 2.6 Ma. Jotun and Troll springs reach up to 25.6 °C.</t>
        </is>
      </c>
    </row>
    <row r="68" ht="15" customHeight="1" s="62">
      <c r="A68" s="81" t="inlineStr">
        <is>
          <t>bockfjord-svalbard-sj</t>
        </is>
      </c>
      <c r="B68" s="113" t="inlineStr">
        <is>
          <t>Wikipedia contributors. Nordvest-Spitsbergen National Park. Wikipedia (accessed 2026-10-11).</t>
        </is>
      </c>
      <c r="C68" s="81" t="inlineStr">
        <is>
          <t>https://en.wikipedia.org/wiki/Nordvest-Spitsbergen_National_Park</t>
        </is>
      </c>
      <c r="D68" s="113" t="inlineStr">
        <is>
          <t>region; sensitive_site; environment_type_primary; access_level; land_status</t>
        </is>
      </c>
      <c r="E68" s="81" t="n"/>
      <c r="F68" s="113" t="inlineStr">
        <is>
          <t>Secondary source. The park (est. 1973, 9,914 km²) includes the Bockfjorden coast, its volcanic remains and the Troll and Jotun warm springs, which are the northernmost documented terrestrial hot springs.</t>
        </is>
      </c>
    </row>
    <row r="69" ht="15" customHeight="1" s="62">
      <c r="A69" s="81" t="inlineStr">
        <is>
          <t>bockfjord-svalbard-sj</t>
        </is>
      </c>
      <c r="B69" s="113" t="inlineStr">
        <is>
          <t>Svalbard Science Forum, Research Council of Norway. Planning research: Download.</t>
        </is>
      </c>
      <c r="C69" s="81" t="inlineStr">
        <is>
          <t>https://www.forskningsradet.no/en/svalbard-science-forum/planning-research/Download</t>
        </is>
      </c>
      <c r="D69" s="113" t="inlineStr">
        <is>
          <t>safety_notes</t>
        </is>
      </c>
      <c r="E69" s="81" t="n"/>
      <c r="F69" s="113" t="inlineStr">
        <is>
          <t>Official source. The Governor leads rescues. Satellite phones cannot dial 112, so call the on-call officer on +47 79 02 12 22. Renting a rifle needs a licence or the Governor's permission.</t>
        </is>
      </c>
    </row>
    <row r="70" ht="15" customHeight="1" s="62">
      <c r="A70" s="81" t="inlineStr">
        <is>
          <t>mauna-kea-us</t>
        </is>
      </c>
      <c r="B70" s="113" t="inlineStr">
        <is>
          <t>ten Kate, I. L., Armstrong, R., Bernhardt, B., Blumers, M., Craft, J., Boucher, D., Caillibot, E., Captain, J., Deleuterio, G., Farmer, J. D., Glavin, D. P., Graff, T., Hamilton, J. C., Klingelhöfer, G., Morris, R. V., Nuñez, J. I., Quinn, J. W., Sanders, G. B., Sellar, R. G., Sigurdson, L., Taylor, R. &amp; Zacny, K. (2013). Mauna Kea, Hawaii, as an analog site for future planetary resource exploration: results from the 2010 ILSO-ISRU field-testing campaign. Journal of Aerospace Engineering, 26(1), 183–196.</t>
        </is>
      </c>
      <c r="C70" s="81" t="inlineStr">
        <is>
          <t>10.1061/(ASCE)AS.1943-5525.0000200</t>
        </is>
      </c>
      <c r="D70" s="113" t="inlineStr">
        <is>
          <t>summary; analogue_for_primary; analogue_type_primary; science_relevance</t>
        </is>
      </c>
      <c r="E70" s="81" t="n"/>
      <c r="F70" s="113" t="inlineStr">
        <is>
          <t>Peer-reviewed. 2010 ILSO-ISRU campaign (27 Jan–11 Feb 2010), eight science teams; proposes Mauna Kea as a standard lunar instrument calibration site. Verified via ASCE DOI landing page (title, authors, volume).</t>
        </is>
      </c>
    </row>
    <row r="71" ht="15" customHeight="1" s="62">
      <c r="A71" s="81" t="inlineStr">
        <is>
          <t>mauna-kea-us</t>
        </is>
      </c>
      <c r="B71" s="113" t="inlineStr">
        <is>
          <t>Klingelhoefer, G., Morris, R. V., Blumers, M., Bernhardt, B. &amp; Graff, T. (2014). The ISRU field tests 2010 and 2012 at Mauna Kea, Hawaii: results from the miniaturised Mössbauer spectrometers MIMOS II and MIMOS IIA. Eighth International Conference on Mars, Pasadena. NASA NTRS 20140008708 (JSC-CN-31329).</t>
        </is>
      </c>
      <c r="C71" s="81" t="inlineStr">
        <is>
          <t>https://ntrs.nasa.gov/citations/20140008708</t>
        </is>
      </c>
      <c r="D71" s="113" t="inlineStr">
        <is>
          <t>alt_names; coordinate_precision; summary; analogue_for_primary; analogue_for_other; analogue_type_primary; analogue_type_other; target_feature; science_relevance; altitude_min_m</t>
        </is>
      </c>
      <c r="E71" s="81" t="n"/>
      <c r="F71" s="113" t="inlineStr">
        <is>
          <t>Secondary source. 2010 test site Puʻu Hiwahine cinder cone at c. 2800 m; PISCES/NORCAT/CSA/DLR/NASA; volcanic material a suitable lunar and Martian analogue.</t>
        </is>
      </c>
    </row>
    <row r="72" ht="15" customHeight="1" s="62">
      <c r="A72" s="81" t="inlineStr">
        <is>
          <t>mauna-kea-us</t>
        </is>
      </c>
      <c r="B72" s="113" t="inlineStr">
        <is>
          <t>Wikipedia. Mauna Kea.</t>
        </is>
      </c>
      <c r="C72" s="81" t="inlineStr">
        <is>
          <t>https://en.wikipedia.org/wiki/Mauna_Kea</t>
        </is>
      </c>
      <c r="D72" s="113" t="inlineStr">
        <is>
          <t>alt_names; region; latitude; longitude; sensitive_site; analogue_type_other; geological_setting; rock_types; age; environment_type_primary; environment_type_other; altitude_max_m; permit_authority; land_status; nearest_town; transport_notes; country_code</t>
        </is>
      </c>
      <c r="E72" s="81" t="n"/>
      <c r="F72" s="113" t="inlineStr">
        <is>
          <t>Secondary source. Summit 4,207.3 m; coordinates; age; rock types; Hawaiian cultural significance; Science Reserve; MKSOA from 2022 law; Saddle Road; Hilo.</t>
        </is>
      </c>
    </row>
    <row r="73" ht="15" customHeight="1" s="62">
      <c r="A73" s="81" t="inlineStr">
        <is>
          <t>mauna-kea-us</t>
        </is>
      </c>
      <c r="B73" s="113" t="inlineStr">
        <is>
          <t>Center for Maunakea Stewardship / Office of Maunakea Management (2018). Visiting Maunakea safely (brochure).</t>
        </is>
      </c>
      <c r="C73" s="81" t="inlineStr">
        <is>
          <t>https://filmoffice.hawaii.gov/wp-content/uploads/2023/11/3a_CMS_Brochure_Visiting-Safely_2018-04.pdf</t>
        </is>
      </c>
      <c r="D73" s="113" t="inlineStr">
        <is>
          <t>sensitive_site; analogue_limitations; environment_type_primary; access_level; permit_authority; transport_notes; sampling_rules; hazard_rating; hazards; safety_notes</t>
        </is>
      </c>
      <c r="E73" s="81" t="n"/>
      <c r="F73" s="113" t="inlineStr">
        <is>
          <t>Official source. Altitudes, altitude illness, who should not ascend, 4WD rules, winter weather, cultural respect, prohibition on removing rocks, emergencies, UV.</t>
        </is>
      </c>
    </row>
    <row r="74" ht="15" customHeight="1" s="62">
      <c r="A74" s="81" t="inlineStr">
        <is>
          <t>mauna-kea-us</t>
        </is>
      </c>
      <c r="B74" s="113" t="inlineStr">
        <is>
          <t>University of Hawaiʻi at Hilo, Center for Maunakea Stewardship. Visitor Information Station.</t>
        </is>
      </c>
      <c r="C74" s="81" t="inlineStr">
        <is>
          <t>https://hilo.hawaii.edu/maunakea/visitor-information/station</t>
        </is>
      </c>
      <c r="D74" s="113" t="inlineStr">
        <is>
          <t>access_level; permit_authority; transport_notes; sampling_rules</t>
        </is>
      </c>
      <c r="E74" s="81" t="n"/>
      <c r="F74" s="113" t="inlineStr">
        <is>
          <t>Official source. VIS at 2,804 m; 4WD above VIS; hours; clean vehicles; managing body.</t>
        </is>
      </c>
    </row>
    <row r="75" ht="15" customHeight="1" s="62">
      <c r="A75" s="81" t="inlineStr">
        <is>
          <t>boulby-mine-gb</t>
        </is>
      </c>
      <c r="B75" s="113" t="inlineStr">
        <is>
          <t>Payler, S.J., Biddle, J.F., Coates, A.J., Cousins, C.R., Cross, R.E., Cullen, D.C., Downs, M.T., Direito, S.O.L., Edwards, T., Gray, A.L., Genis, J., Gunn, M., Hansford, G.M., Harkness, P., Holt, J., Josset, J.-L., Li, X., Lees, D.S., Lim, D.S.S., McHugh, M., McLuckie, D., Meehan, E., Paling, S.M., Souchon, A., Yeoman, L. &amp; Cockell, C.S. (2017). Planetary science and exploration in the deep subsurface: results from the MINAR Program, Boulby Mine, UK. International Journal of Astrobiology, 16(2), 114–129.</t>
        </is>
      </c>
      <c r="C75" s="81" t="inlineStr">
        <is>
          <t>10.1017/S1473550416000045</t>
        </is>
      </c>
      <c r="D75" s="113" t="inlineStr">
        <is>
          <t>summary; analogue_for_primary; analogue_type_primary; analogue_type_other; target_feature; science_relevance; geological_setting; key_minerals; age; environment_type_primary</t>
        </is>
      </c>
      <c r="E75" s="81" t="n"/>
      <c r="F75" s="113" t="inlineStr">
        <is>
          <t>Peer-reviewed. Opened on Cambridge Core (published online April 2016). MINAR instrument tests in Permian evaporites; NaCl/KCl identified by XRD; Raman for inclusions.</t>
        </is>
      </c>
    </row>
    <row r="76" ht="15" customHeight="1" s="62">
      <c r="A76" s="81" t="inlineStr">
        <is>
          <t>boulby-mine-gb</t>
        </is>
      </c>
      <c r="B76" s="113" t="inlineStr">
        <is>
          <t>Payler, S.J., Biddle, J.F., Sherwood Lollar, B., Fox-Powell, M.G., Edwards, T., Ngwenya, B.T., Paling, S.M. &amp; Cockell, C.S. (2019). An Ionic Limit to Life in the Deep Subsurface. Frontiers in Microbiology, 10, 426.</t>
        </is>
      </c>
      <c r="C76" s="81" t="inlineStr">
        <is>
          <t>10.3389/fmicb.2019.00426</t>
        </is>
      </c>
      <c r="D76" s="113" t="inlineStr">
        <is>
          <t>analogue_type_other; science_relevance; analogue_limitations; geological_setting; rock_types; key_minerals; environment_type_primary; environment_type_other; ph_min; ph_max; temp_min_c; temp_max_c; salinity; biology_present; notable_organisms</t>
        </is>
      </c>
      <c r="E76" s="81" t="n"/>
      <c r="F76" s="113" t="inlineStr">
        <is>
          <t>Peer-reviewed. Opened on PMC (PMC6422919). Boulby brines: pH 3.42–7.25, 29.5–35.7 °C, ionic strength 5.32–6.56 mol/L; Zechstein sequence (dolomite, anhydrite, halite, carnallite, shale); halophilic archaea and bacteria. Does not itself discuss Mars directly.</t>
        </is>
      </c>
    </row>
    <row r="77" ht="15" customHeight="1" s="62">
      <c r="A77" s="81" t="inlineStr">
        <is>
          <t>boulby-mine-gb</t>
        </is>
      </c>
      <c r="B77" s="113" t="inlineStr">
        <is>
          <t>STFC Boulby Underground Laboratory. Overview of the Laboratory; and home page.</t>
        </is>
      </c>
      <c r="C77" s="81" t="inlineStr">
        <is>
          <t>https://www.boulby.stfc.ac.uk/Pages/Overview-of-the-Laboratory.aspx</t>
        </is>
      </c>
      <c r="D77" s="113" t="inlineStr">
        <is>
          <t>region; summary; analogue_for_primary; target_feature; analogue_limitations; rock_types; key_minerals; age; access_level; permits_required; permit_authority; land_status; transport_notes; sampling_rules</t>
        </is>
      </c>
      <c r="E77" s="81" t="n"/>
      <c r="F77" s="113" t="inlineStr">
        <is>
          <t>Official source. Lab 1,100 m deep in Boulby Mine (ICL-UK); run by STFC; rock salt, potash, polyhalite from Zechstein Sea ~250 Ma; between Saltburn and Whitby. Home page (https://www.boulby.stfc.ac.uk/) notes Mars-analogue conditions and asks researchers to get in touch for access.</t>
        </is>
      </c>
    </row>
    <row r="78" ht="15" customHeight="1" s="62">
      <c r="A78" s="81" t="inlineStr">
        <is>
          <t>boulby-mine-gb</t>
        </is>
      </c>
      <c r="B78" s="113" t="inlineStr">
        <is>
          <t>Wikipedia contributors. Boulby Mine. Wikipedia.</t>
        </is>
      </c>
      <c r="C78" s="81" t="inlineStr">
        <is>
          <t>https://en.wikipedia.org/wiki/Boulby_Mine</t>
        </is>
      </c>
      <c r="D78" s="113" t="inlineStr">
        <is>
          <t>alt_names; country_code; latitude; longitude; coordinate_precision; summary; key_minerals; nearest_town; transport_notes</t>
        </is>
      </c>
      <c r="E78" s="81" t="n"/>
      <c r="F78" s="113" t="inlineStr">
        <is>
          <t>Secondary source. Coordinates 54.5534, -0.8245; depth 1,400 m; potash (sylvite), polyhalite, halite; operator Cleveland Potash Ltd (ICL); Loftus 4.3 km west; Palmer Lab; MINAR.</t>
        </is>
      </c>
    </row>
    <row r="79" ht="15" customHeight="1" s="62">
      <c r="A79" s="81" t="inlineStr">
        <is>
          <t>lost-city-vent-field</t>
        </is>
      </c>
      <c r="B79" s="113" t="inlineStr">
        <is>
          <t>Kelley, D. S., Karson, J. A., Blackman, D. K., Früh-Green, G. L., Butterfield, D. A., Lilley, M. D., Olson, E. J., Schrenk, M. O., Roe, K. K., Lebon, G. T., Rivizzigno, P. &amp; AT3-60 Shipboard Party (2001). An off-axis hydrothermal vent field near the Mid-Atlantic Ridge at 30° N. Nature, 412, 145–149.</t>
        </is>
      </c>
      <c r="C79" s="81" t="inlineStr">
        <is>
          <t>10.1038/35084000</t>
        </is>
      </c>
      <c r="D79" s="113" t="inlineStr">
        <is>
          <t>region; summary; analogue_type_primary; target_feature; science_relevance; geological_setting; age; environment_type_primary; environment_type_other; ph_min; temp_min_c; biology_present; notable_organisms</t>
        </is>
      </c>
      <c r="E79" s="81" t="n"/>
      <c r="F79" s="113" t="inlineStr">
        <is>
          <t>Peer-reviewed. Discovery paper: 1.5 Myr crust, ~15 km off axis, carbonate chimneys, fluids 40–75 °C, pH 9.0–9.8, anaerobic thermophiles. Nature page rate-limited (HTTP 429); title, authors, year and pages checked against Crossref and Europe PMC; abstract read via Europe PMC.</t>
        </is>
      </c>
    </row>
    <row r="80" ht="15" customHeight="1" s="62">
      <c r="A80" s="81" t="inlineStr">
        <is>
          <t>lost-city-vent-field</t>
        </is>
      </c>
      <c r="B80" s="113" t="inlineStr">
        <is>
          <t>Kelley, D. S., Karson, J. A., Früh-Green, G. L., Yoerger, D. R., Shank, T. M., Butterfield, D. A., Hayes, J. M., Schrenk, M. O., et al. (2005). A serpentinite-hosted ecosystem: the Lost City hydrothermal field. Science, 307, 1428–1434.</t>
        </is>
      </c>
      <c r="C80" s="81" t="inlineStr">
        <is>
          <t>10.1126/science.1102556</t>
        </is>
      </c>
      <c r="D80" s="113" t="inlineStr">
        <is>
          <t>summary; analogue_type_primary; analogue_type_other; target_feature; science_relevance; analogue_limitations; geological_setting; rock_types; environment_type_primary; environment_type_other; ph_max; temp_max_c; salinity; biology_present; notable_organisms</t>
        </is>
      </c>
      <c r="E80" s="81" t="n"/>
      <c r="F80" s="113" t="inlineStr">
        <is>
          <t>Peer-reviewed. Fluids &lt;40 to 90 °C at pH 9–11, methane- and hydrogen-rich; chimneys 30–60 m tall; methane-cycling archaea; macrofauna. Science page unreachable; checked against Crossref and Europe PMC; abstract read.</t>
        </is>
      </c>
    </row>
    <row r="81" ht="15" customHeight="1" s="62">
      <c r="A81" s="81" t="inlineStr">
        <is>
          <t>lost-city-vent-field</t>
        </is>
      </c>
      <c r="B81" s="113" t="inlineStr">
        <is>
          <t>Wikipedia contributors. Lost City Hydrothermal Field. Wikipedia (accessed 2026-10-11).</t>
        </is>
      </c>
      <c r="C81" s="81" t="inlineStr">
        <is>
          <t>https://en.wikipedia.org/wiki/Lost_City_Hydrothermal_Field</t>
        </is>
      </c>
      <c r="D81" s="113" t="inlineStr">
        <is>
          <t>alt_names; region; latitude; longitude; coordinate_precision; summary; analogue_for_primary; analogue_for_other; analogue_type_other; science_relevance; analogue_limitations; rock_types; key_minerals; age; temp_min_c; temp_max_c; altitude_min_m; altitude_max_m; notable_organisms</t>
        </is>
      </c>
      <c r="E81" s="81" t="n"/>
      <c r="F81" s="113" t="inlineStr">
        <is>
          <t>Secondary source. Coordinates 30.117°N 42.117°W; depth 750–900 m; 40–90 °C; minerals; age &gt;120,000 years; microbes; Europa/Enceladus relevance.</t>
        </is>
      </c>
    </row>
    <row r="82" ht="15" customHeight="1" s="62">
      <c r="A82" s="81" t="inlineStr">
        <is>
          <t>lost-city-vent-field</t>
        </is>
      </c>
      <c r="B82" s="113" t="inlineStr">
        <is>
          <t>NOAA Ocean Explorer (2005). Lost City 2005 expedition.</t>
        </is>
      </c>
      <c r="C82" s="81" t="inlineStr">
        <is>
          <t>https://oceanexplorer.noaa.gov/explorations/05lostcity/welcome.html</t>
        </is>
      </c>
      <c r="D82" s="113" t="inlineStr">
        <is>
          <t>alt_names; access_level; transport_notes; hazards; safety_notes</t>
        </is>
      </c>
      <c r="E82" s="81" t="n"/>
      <c r="F82" s="113" t="inlineStr">
        <is>
          <t>Official source. Expedition access by ROVs Argus and Hercules from NOAA Ship Ronald H. Brown; discovery in 2000. Its depth figures (~2,100–2,500 ft) are inconsistent, so they are not used.</t>
        </is>
      </c>
    </row>
    <row r="83" ht="15" customHeight="1" s="62">
      <c r="A83" s="81" t="inlineStr">
        <is>
          <t>lost-city-vent-field</t>
        </is>
      </c>
      <c r="B83" s="113" t="inlineStr">
        <is>
          <t>UNESCO World Heritage Centre (3 August 2016). News item on the report 'World Heritage in the High Seas: An Idea Whose Time has Come'.</t>
        </is>
      </c>
      <c r="C83" s="81" t="inlineStr">
        <is>
          <t>https://whc.unesco.org/en/news/1535</t>
        </is>
      </c>
      <c r="D83" s="113" t="inlineStr">
        <is>
          <t>country; permits_required; land_status</t>
        </is>
      </c>
      <c r="E83" s="81" t="n"/>
      <c r="F83" s="113" t="inlineStr">
        <is>
          <t>Official source. Lost City is one of five illustrative high-seas sites that 'could be recognized as having outstanding universal value'; the item states that none can currently be inscribed because they lie outside national jurisdiction.</t>
        </is>
      </c>
    </row>
    <row r="84" ht="15" customHeight="1" s="62">
      <c r="A84" s="81" t="inlineStr">
        <is>
          <t>lake-vostok-aq</t>
        </is>
      </c>
      <c r="B84" s="113" t="inlineStr">
        <is>
          <t>Priscu, J. C., Adams, E. E., Lyons, W. B., Voytek, M. A., Mogk, D. W., Brown, R. L., McKay, C. P., Takacs, C. D., et al. (1999). Geomicrobiology of subglacial ice above Lake Vostok, Antarctica. Science, 286(5447), 2141–2144.</t>
        </is>
      </c>
      <c r="C84" s="81" t="inlineStr">
        <is>
          <t>10.1126/science.286.5447.2141</t>
        </is>
      </c>
      <c r="D84" s="113" t="inlineStr">
        <is>
          <t>alt_names; summary; analogue_type_primary; target_feature; science_relevance; biology_present; notable_organisms</t>
        </is>
      </c>
      <c r="E84" s="81" t="n"/>
      <c r="F84" s="113" t="inlineStr">
        <is>
          <t>Peer-reviewed. Accretion ice from 3,590 m depth; microbes at 2.8×10^3–3.6×10^4 cells/mL; Proteobacteria/Actinomycetes phylotypes. Checked against Crossref and Europe PMC; abstract read.</t>
        </is>
      </c>
    </row>
    <row r="85" ht="15" customHeight="1" s="62">
      <c r="A85" s="81" t="inlineStr">
        <is>
          <t>lake-vostok-aq</t>
        </is>
      </c>
      <c r="B85" s="113" t="inlineStr">
        <is>
          <t>Siegert, M. J., Ellis-Evans, J. C., Tranter, M., Mayer, C., Petit, J. R., Salamatin, A. &amp; Priscu, J. C. (2001). Physical, chemical and biological processes in Lake Vostok and other Antarctic subglacial lakes. Nature, 414, 603–609.</t>
        </is>
      </c>
      <c r="C85" s="81" t="inlineStr">
        <is>
          <t>10.1038/414603a</t>
        </is>
      </c>
      <c r="D85" s="113" t="inlineStr">
        <is>
          <t>analogue_type_primary; analogue_type_other; science_relevance; analogue_limitations; environment_type_primary; temp_min_c; temp_max_c</t>
        </is>
      </c>
      <c r="E85" s="81" t="n"/>
      <c r="F85" s="113" t="inlineStr">
        <is>
          <t>Peer-reviewed. Review: pressure ~350 atm, temperature ~−3 °C, permanent darkness, oxygen from air hydrates, chemical energy needed. Checked against Europe PMC; abstract read.</t>
        </is>
      </c>
    </row>
    <row r="86" ht="15" customHeight="1" s="62">
      <c r="A86" s="81" t="inlineStr">
        <is>
          <t>lake-vostok-aq</t>
        </is>
      </c>
      <c r="B86" s="113" t="inlineStr">
        <is>
          <t>Shtarkman, Y. M., Koçer, Z. A., Edgar, R., Veerapaneni, R. S., D'Elia, T., Morris, P. F. &amp; Rogers, S. O. (2013). Subglacial Lake Vostok (Antarctica) accretion ice contains a diverse set of sequences from aquatic, marine and sediment-inhabiting bacteria and Eukarya. PLoS ONE, 8(7), e67221.</t>
        </is>
      </c>
      <c r="C86" s="81" t="inlineStr">
        <is>
          <t>10.1371/journal.pone.0067221</t>
        </is>
      </c>
      <c r="D86" s="113" t="inlineStr">
        <is>
          <t>summary; target_feature</t>
        </is>
      </c>
      <c r="E86" s="81" t="n"/>
      <c r="F86" s="113" t="inlineStr">
        <is>
          <t>Peer-reviewed. Ice cover &gt;3,700 m; accretion ice samples at 3,563–3,621 m; thermophile-related sequences. The article carries a 2026 PLOS editorial note about overlap with a companion paper on the same cores. Full text opened.</t>
        </is>
      </c>
    </row>
    <row r="87" ht="15" customHeight="1" s="62">
      <c r="A87" s="81" t="inlineStr">
        <is>
          <t>lake-vostok-aq</t>
        </is>
      </c>
      <c r="B87" s="113" t="inlineStr">
        <is>
          <t>Bulat, S. A. (2016). Microbiology of the subglacial Lake Vostok: first results of borehole-frozen lake water analysis and prospects for searching for lake inhabitants. Philosophical Transactions of the Royal Society A, 374, 20140292.</t>
        </is>
      </c>
      <c r="C87" s="81" t="inlineStr">
        <is>
          <t>10.1098/rsta.2014.0292</t>
        </is>
      </c>
      <c r="D87" s="113" t="inlineStr">
        <is>
          <t>sensitive_site; analogue_limitations; biology_present; notable_organisms; sampling_rules</t>
        </is>
      </c>
      <c r="E87" s="81" t="n"/>
      <c r="F87" s="113" t="inlineStr">
        <is>
          <t>Peer-reviewed. Lake under ~4 km of ice; borehole-frozen water; unknown phylotypes w123-10 and AF532061; life in lake water still unconfirmed; clean-room needs. Checked against Crossref and Europe PMC; abstract read.</t>
        </is>
      </c>
    </row>
    <row r="88" ht="15" customHeight="1" s="62">
      <c r="A88" s="81" t="inlineStr">
        <is>
          <t>lake-vostok-aq</t>
        </is>
      </c>
      <c r="B88" s="113" t="inlineStr">
        <is>
          <t>Wikipedia contributors. Lake Vostok. Wikipedia (accessed 2026-10-11).</t>
        </is>
      </c>
      <c r="C88" s="81" t="inlineStr">
        <is>
          <t>https://en.wikipedia.org/wiki/Lake_Vostok</t>
        </is>
      </c>
      <c r="D88" s="113" t="inlineStr">
        <is>
          <t>alt_names; country_code; region; latitude; longitude; coordinate_precision; extent_km2; summary; analogue_for_primary; analogue_for_other; analogue_type_other; science_relevance; analogue_limitations; geological_setting; age; environment_type_primary; temp_min_c; temp_max_c; biology_present; notable_organisms; nearest_town; transport_notes; sampling_rules</t>
        </is>
      </c>
      <c r="E88" s="81" t="n"/>
      <c r="F88" s="113" t="inlineStr">
        <is>
          <t>Secondary source. Coordinates 77.5°S 106.0°E; 250 × 50 km; 12,500 km2; mean depth 432 m; volume ~5,400 km3; ~−3 °C; isolation 15–25 Ma; drilling history; Europa/Enceladus relevance; contamination debate.</t>
        </is>
      </c>
    </row>
    <row r="89" ht="15" customHeight="1" s="62">
      <c r="A89" s="81" t="inlineStr">
        <is>
          <t>lake-vostok-aq</t>
        </is>
      </c>
      <c r="B89" s="113" t="inlineStr">
        <is>
          <t>Wikipedia contributors. Vostok Station. Wikipedia (accessed 2026-10-11).</t>
        </is>
      </c>
      <c r="C89" s="81" t="inlineStr">
        <is>
          <t>https://en.wikipedia.org/wiki/Vostok_Station</t>
        </is>
      </c>
      <c r="D89" s="113" t="inlineStr">
        <is>
          <t>region; altitude_max_m; access_level; permit_authority; land_status; nearest_town; transport_notes; hazard_rating; hazards; safety_notes</t>
        </is>
      </c>
      <c r="E89" s="81" t="n"/>
      <c r="F89" s="113" t="inlineStr">
        <is>
          <t>Secondary source. Station coordinates, 3,488 m elevation, AARI operator, −89.2 °C record, hypoxia, staffing, Mirny resupply.</t>
        </is>
      </c>
    </row>
    <row r="90" ht="15" customHeight="1" s="62">
      <c r="A90" s="81" t="inlineStr">
        <is>
          <t>lake-vostok-aq</t>
        </is>
      </c>
      <c r="B90" s="113" t="inlineStr">
        <is>
          <t>Kapitsa, A. P., Ridley, J. K., Robin, G. de Q., Siegert, M. J. &amp; Zotikov, I. A. (1996). A large deep freshwater lake beneath the ice of central East Antarctica. Nature, 381, 684–686.</t>
        </is>
      </c>
      <c r="C90" s="81" t="inlineStr">
        <is>
          <t>10.1038/381684a0</t>
        </is>
      </c>
      <c r="D90" s="113" t="inlineStr">
        <is>
          <t>salinity</t>
        </is>
      </c>
      <c r="E90" s="81" t="n"/>
      <c r="F90" s="113" t="inlineStr">
        <is>
          <t>Peer-reviewed. Discovery paper; Crossref metadata checked; cited only for its title ('freshwater lake'), as the abstract was not read.</t>
        </is>
      </c>
    </row>
    <row r="91" ht="15" customHeight="1" s="62">
      <c r="A91" s="81" t="inlineStr">
        <is>
          <t>lake-vostok-aq</t>
        </is>
      </c>
      <c r="B91" s="113" t="inlineStr">
        <is>
          <t>UK Foreign, Commonwealth &amp; Development Office (2026). Visiting Antarctica. GOV.UK (last updated 3 March 2026).</t>
        </is>
      </c>
      <c r="C91" s="81" t="inlineStr">
        <is>
          <t>https://www.gov.uk/guidance/visits-to-antarctica-how-to-apply-for-a-permit</t>
        </is>
      </c>
      <c r="D91" s="113" t="inlineStr">
        <is>
          <t>access_level; permits_required; permit_authority; sampling_rules</t>
        </is>
      </c>
      <c r="E91" s="81" t="n"/>
      <c r="F91" s="113" t="inlineStr">
        <is>
          <t>Official source. Antarctic permits for British expeditions via FCDO Polar Regions Department; 4-month lead time.</t>
        </is>
      </c>
    </row>
    <row r="92" ht="15" customHeight="1" s="62">
      <c r="A92" s="81" t="inlineStr">
        <is>
          <t>lava-beds-us</t>
        </is>
      </c>
      <c r="B92" s="113" t="inlineStr">
        <is>
          <t>National Park Service. Lava Beds National Monument: Directions.</t>
        </is>
      </c>
      <c r="C92" s="81" t="inlineStr">
        <is>
          <t>https://www.nps.gov/labe/planyourvisit/directions.htm</t>
        </is>
      </c>
      <c r="D92" s="113" t="inlineStr">
        <is>
          <t>nearest_town; best_season; transport_notes; access_level</t>
        </is>
      </c>
      <c r="E92" s="81" t="n"/>
      <c r="F92" s="113" t="inlineStr">
        <is>
          <t>Official source. Routes, drive times, airports, no public transport, no fuel in park, winter road closures.</t>
        </is>
      </c>
    </row>
    <row r="93" ht="15" customHeight="1" s="62">
      <c r="A93" s="81" t="inlineStr">
        <is>
          <t>lava-beds-us</t>
        </is>
      </c>
      <c r="B93" s="113" t="inlineStr">
        <is>
          <t>National Park Service. Lava Beds National Monument: Basic Information.</t>
        </is>
      </c>
      <c r="C93" s="81" t="inlineStr">
        <is>
          <t>https://www.nps.gov/labe/planyourvisit/basicinfo.htm</t>
        </is>
      </c>
      <c r="D93" s="113" t="inlineStr">
        <is>
          <t>nearest_town; transport_notes</t>
        </is>
      </c>
      <c r="E93" s="81" t="n"/>
      <c r="F93" s="113" t="inlineStr">
        <is>
          <t>Official source. Services in Tionesta, Tulelake and Merrill 20–30 min away; limited cell service; mailing address Tulelake, CA.</t>
        </is>
      </c>
    </row>
    <row r="94" ht="15" customHeight="1" s="62">
      <c r="A94" s="81" t="inlineStr">
        <is>
          <t>lava-beds-us</t>
        </is>
      </c>
      <c r="B94" s="113" t="inlineStr">
        <is>
          <t>National Park Service. Lava Beds National Monument: Weather.</t>
        </is>
      </c>
      <c r="C94" s="81" t="inlineStr">
        <is>
          <t>https://www.nps.gov/labe/planyourvisit/weather.htm</t>
        </is>
      </c>
      <c r="D94" s="113" t="inlineStr">
        <is>
          <t>best_season</t>
        </is>
      </c>
      <c r="E94" s="81" t="n"/>
      <c r="F94" s="113" t="inlineStr">
        <is>
          <t>Official source. Elevation 4,000–5,700 ft; seasonal temperatures; snow possible any month; open all year.</t>
        </is>
      </c>
    </row>
    <row r="95" ht="15" customHeight="1" s="62">
      <c r="A95" s="81" t="inlineStr">
        <is>
          <t>lava-beds-us</t>
        </is>
      </c>
      <c r="B95" s="113" t="inlineStr">
        <is>
          <t>National Park Service. Lava Beds National Monument: Caving.</t>
        </is>
      </c>
      <c r="C95" s="81" t="inlineStr">
        <is>
          <t>https://www.nps.gov/labe/planyourvisit/caving.htm</t>
        </is>
      </c>
      <c r="D95" s="113" t="inlineStr">
        <is>
          <t>sensitive_site; hazard_rating; access_level</t>
        </is>
      </c>
      <c r="E95" s="81" t="n"/>
      <c r="F95" s="113" t="inlineStr">
        <is>
          <t>Official source. Free caving permit; hazards; equipment; bat closures; 24 caves by difficulty. Re-opened to support ratings.</t>
        </is>
      </c>
    </row>
    <row r="96" ht="15" customHeight="1" s="62">
      <c r="A96" s="81" t="inlineStr">
        <is>
          <t>lava-beds-us</t>
        </is>
      </c>
      <c r="B96" s="113" t="inlineStr">
        <is>
          <t>Bell, E. Jr., Schmerr, N., Young, K., Esmaeili, S., Garry, W. B., Jazayeri, S., Kruse, S., Richardson, J., Whelley, P. (2022). Field Mapping and Modeling of Terrestrial Lava Tube Magnetic Anomalies as an Analog for Lunar Lava Tube Exploration and Prospecting. Journal of Geophysical Research: Planets, 127, e2021JE007140.</t>
        </is>
      </c>
      <c r="C96" s="81" t="inlineStr">
        <is>
          <t>10.1029/2021JE007140</t>
        </is>
      </c>
      <c r="D96" s="113" t="inlineStr">
        <is>
          <t>science_relevance; analogue_for_primary; target_feature; rock_types</t>
        </is>
      </c>
      <c r="E96" s="81" t="n"/>
      <c r="F96" s="113" t="inlineStr">
        <is>
          <t>Peer-reviewed. Free copy: https://drum.lib.umd.edu/items/a35f1c38-4c8a-4a23-9626-74f8944a736f</t>
        </is>
      </c>
    </row>
    <row r="97" ht="15" customHeight="1" s="62">
      <c r="A97" s="81" t="inlineStr">
        <is>
          <t>lava-beds-us</t>
        </is>
      </c>
      <c r="B97" s="113" t="inlineStr">
        <is>
          <t>Theinat, A. K., Modiriasari, A., Bobet, A., Melosh, H. J., Dyke, S. J., Ramirez, J., Choi, J., Maghareh, A., Gomez, D. (2019). Geology Exploration of Lava Tubes in the Lava Beds National Monuments. 50th Lunar and Planetary Science Conference, abstract 3232.</t>
        </is>
      </c>
      <c r="C97" s="81" t="inlineStr">
        <is>
          <t>https://www.purdue.edu/reth/files/papers/3232.pdf</t>
        </is>
      </c>
      <c r="D97" s="113" t="inlineStr">
        <is>
          <t>science_relevance; analogue_limitations</t>
        </is>
      </c>
      <c r="E97" s="81" t="n"/>
      <c r="F97" s="113" t="inlineStr">
        <is>
          <t>Conference abstract, not peer-reviewed: supporting source</t>
        </is>
      </c>
    </row>
    <row r="98" ht="15" customHeight="1" s="62">
      <c r="A98" s="81" t="inlineStr">
        <is>
          <t>lava-beds-us</t>
        </is>
      </c>
      <c r="B98" s="113" t="inlineStr">
        <is>
          <t>NASA BRAILLE project. Lava tubes (field site page).</t>
        </is>
      </c>
      <c r="C98" s="81" t="inlineStr">
        <is>
          <t>https://www.nasa-braille.org/about-braille/the-field-site/lava-tubes</t>
        </is>
      </c>
      <c r="D98" s="113" t="inlineStr">
        <is>
          <t>summary; analogue_for_other; temp_min_c; temp_max_c</t>
        </is>
      </c>
      <c r="E98" s="81" t="n"/>
      <c r="F98" s="113" t="inlineStr">
        <is>
          <t>Project website</t>
        </is>
      </c>
    </row>
    <row r="99" ht="15" customHeight="1" s="62">
      <c r="A99" s="81" t="inlineStr">
        <is>
          <t>lava-beds-us</t>
        </is>
      </c>
      <c r="B99" s="113" t="inlineStr">
        <is>
          <t>National Park Service. NPS Geodiversity Atlas: Lava Beds National Monument, California.</t>
        </is>
      </c>
      <c r="C99" s="81" t="inlineStr">
        <is>
          <t>https://www.nps.gov/articles/nps-geodiversity-atlas-lava-beds-national-monument-california.htm</t>
        </is>
      </c>
      <c r="D99" s="113" t="inlineStr">
        <is>
          <t>extent_km2; region</t>
        </is>
      </c>
      <c r="E99" s="81" t="n"/>
      <c r="F99" s="113" t="inlineStr">
        <is>
          <t>Area 18,896 ha (46,692 acres)</t>
        </is>
      </c>
    </row>
    <row r="100" ht="15" customHeight="1" s="62">
      <c r="A100" s="81" t="n"/>
      <c r="B100" s="113" t="n"/>
      <c r="C100" s="113" t="n"/>
      <c r="D100" s="113" t="n"/>
      <c r="E100" s="81" t="n"/>
      <c r="F100" s="113" t="n"/>
    </row>
    <row r="101" ht="15" customHeight="1" s="62">
      <c r="A101" s="81" t="n"/>
      <c r="B101" s="113" t="n"/>
      <c r="C101" s="113" t="n"/>
      <c r="D101" s="113" t="n"/>
      <c r="E101" s="81" t="n"/>
      <c r="F101" s="113" t="n"/>
    </row>
    <row r="102" ht="15" customHeight="1" s="62">
      <c r="A102" s="81" t="n"/>
      <c r="B102" s="113" t="n"/>
      <c r="C102" s="113" t="n"/>
      <c r="D102" s="113" t="n"/>
      <c r="E102" s="81" t="n"/>
      <c r="F102" s="113" t="n"/>
    </row>
    <row r="103" ht="15" customHeight="1" s="62">
      <c r="A103" s="81" t="n"/>
      <c r="B103" s="113" t="n"/>
      <c r="C103" s="113" t="n"/>
      <c r="D103" s="113" t="n"/>
      <c r="E103" s="81" t="n"/>
      <c r="F103" s="113" t="n"/>
    </row>
    <row r="104" ht="15" customHeight="1" s="62">
      <c r="A104" s="81" t="n"/>
      <c r="B104" s="113" t="n"/>
      <c r="C104" s="113" t="n"/>
      <c r="D104" s="113" t="n"/>
      <c r="E104" s="81" t="n"/>
      <c r="F104" s="113" t="n"/>
    </row>
    <row r="105" ht="15" customHeight="1" s="62">
      <c r="A105" s="81" t="n"/>
      <c r="B105" s="113" t="n"/>
      <c r="C105" s="113" t="n"/>
      <c r="D105" s="113" t="n"/>
      <c r="E105" s="81" t="n"/>
      <c r="F105" s="113" t="n"/>
    </row>
    <row r="106" ht="15" customHeight="1" s="62">
      <c r="A106" s="81" t="n"/>
      <c r="B106" s="113" t="n"/>
      <c r="C106" s="113" t="n"/>
      <c r="D106" s="113" t="n"/>
      <c r="E106" s="81" t="n"/>
      <c r="F106" s="113" t="n"/>
    </row>
    <row r="107" ht="15" customHeight="1" s="62">
      <c r="A107" s="81" t="n"/>
      <c r="B107" s="113" t="n"/>
      <c r="C107" s="113" t="n"/>
      <c r="D107" s="113" t="n"/>
      <c r="E107" s="81" t="n"/>
      <c r="F107" s="113" t="n"/>
    </row>
    <row r="108" ht="15" customHeight="1" s="62">
      <c r="A108" s="81" t="n"/>
      <c r="B108" s="113" t="n"/>
      <c r="C108" s="113" t="n"/>
      <c r="D108" s="113" t="n"/>
      <c r="E108" s="81" t="n"/>
      <c r="F108" s="113" t="n"/>
    </row>
    <row r="109" ht="15" customHeight="1" s="62">
      <c r="A109" s="81" t="n"/>
      <c r="B109" s="113" t="n"/>
      <c r="C109" s="113" t="n"/>
      <c r="D109" s="113" t="n"/>
      <c r="E109" s="81" t="n"/>
      <c r="F109" s="113" t="n"/>
    </row>
    <row r="110" ht="15" customHeight="1" s="62">
      <c r="A110" s="81" t="n"/>
      <c r="B110" s="113" t="n"/>
      <c r="C110" s="113" t="n"/>
      <c r="D110" s="113" t="n"/>
      <c r="E110" s="81" t="n"/>
      <c r="F110" s="113" t="n"/>
    </row>
    <row r="111" ht="15" customHeight="1" s="62">
      <c r="A111" s="81" t="n"/>
      <c r="B111" s="113" t="n"/>
      <c r="C111" s="113" t="n"/>
      <c r="D111" s="113" t="n"/>
      <c r="E111" s="81" t="n"/>
      <c r="F111" s="113" t="n"/>
    </row>
    <row r="112" ht="15" customHeight="1" s="62">
      <c r="A112" s="81" t="n"/>
      <c r="B112" s="113" t="n"/>
      <c r="C112" s="113" t="n"/>
      <c r="D112" s="113" t="n"/>
      <c r="E112" s="81" t="n"/>
      <c r="F112" s="113" t="n"/>
    </row>
    <row r="113" ht="15" customHeight="1" s="62">
      <c r="A113" s="81" t="n"/>
      <c r="B113" s="113" t="n"/>
      <c r="C113" s="113" t="n"/>
      <c r="D113" s="113" t="n"/>
      <c r="E113" s="81" t="n"/>
      <c r="F113" s="113" t="n"/>
    </row>
    <row r="114" ht="15" customHeight="1" s="62">
      <c r="A114" s="81" t="n"/>
      <c r="B114" s="113" t="n"/>
      <c r="C114" s="113" t="n"/>
      <c r="D114" s="113" t="n"/>
      <c r="E114" s="81" t="n"/>
      <c r="F114" s="113" t="n"/>
    </row>
    <row r="115" ht="15" customHeight="1" s="62">
      <c r="A115" s="81" t="n"/>
      <c r="B115" s="113" t="n"/>
      <c r="C115" s="113" t="n"/>
      <c r="D115" s="113" t="n"/>
      <c r="E115" s="81" t="n"/>
      <c r="F115" s="113" t="n"/>
    </row>
    <row r="116" ht="15" customHeight="1" s="62">
      <c r="A116" s="81" t="n"/>
      <c r="B116" s="113" t="n"/>
      <c r="C116" s="113" t="n"/>
      <c r="D116" s="113" t="n"/>
      <c r="E116" s="81" t="n"/>
      <c r="F116" s="113" t="n"/>
    </row>
    <row r="117" ht="15" customHeight="1" s="62">
      <c r="A117" s="81" t="n"/>
      <c r="B117" s="113" t="n"/>
      <c r="C117" s="113" t="n"/>
      <c r="D117" s="113" t="n"/>
      <c r="E117" s="81" t="n"/>
      <c r="F117" s="113" t="n"/>
    </row>
    <row r="118" ht="15" customHeight="1" s="62">
      <c r="A118" s="81" t="n"/>
      <c r="B118" s="113" t="n"/>
      <c r="C118" s="113" t="n"/>
      <c r="D118" s="113" t="n"/>
      <c r="E118" s="81" t="n"/>
      <c r="F118" s="113" t="n"/>
    </row>
    <row r="119" ht="15" customHeight="1" s="62">
      <c r="A119" s="81" t="n"/>
      <c r="B119" s="113" t="n"/>
      <c r="C119" s="113" t="n"/>
      <c r="D119" s="113" t="n"/>
      <c r="E119" s="81" t="n"/>
      <c r="F119" s="113" t="n"/>
    </row>
    <row r="120" ht="15" customHeight="1" s="62">
      <c r="A120" s="81" t="n"/>
      <c r="B120" s="113" t="n"/>
      <c r="C120" s="113" t="n"/>
      <c r="D120" s="113" t="n"/>
      <c r="E120" s="81" t="n"/>
      <c r="F120" s="113" t="n"/>
    </row>
    <row r="121" ht="15" customHeight="1" s="62">
      <c r="A121" s="81" t="n"/>
      <c r="B121" s="113" t="n"/>
      <c r="C121" s="113" t="n"/>
      <c r="D121" s="113" t="n"/>
      <c r="E121" s="81" t="n"/>
      <c r="F121" s="113" t="n"/>
    </row>
    <row r="122" ht="15" customHeight="1" s="62">
      <c r="A122" s="81" t="n"/>
      <c r="B122" s="113" t="n"/>
      <c r="C122" s="113" t="n"/>
      <c r="D122" s="113" t="n"/>
      <c r="E122" s="81" t="n"/>
      <c r="F122" s="113" t="n"/>
    </row>
    <row r="123" ht="15" customHeight="1" s="62">
      <c r="A123" s="81" t="n"/>
      <c r="B123" s="113" t="n"/>
      <c r="C123" s="113" t="n"/>
      <c r="D123" s="113" t="n"/>
      <c r="E123" s="81" t="n"/>
      <c r="F123" s="113" t="n"/>
    </row>
    <row r="124" ht="15" customHeight="1" s="62">
      <c r="A124" s="81" t="n"/>
      <c r="B124" s="113" t="n"/>
      <c r="C124" s="113" t="n"/>
      <c r="D124" s="113" t="n"/>
      <c r="E124" s="81" t="n"/>
      <c r="F124" s="113" t="n"/>
    </row>
    <row r="125" ht="15" customHeight="1" s="62">
      <c r="A125" s="81" t="n"/>
      <c r="B125" s="113" t="n"/>
      <c r="C125" s="113" t="n"/>
      <c r="D125" s="113" t="n"/>
      <c r="E125" s="81" t="n"/>
      <c r="F125" s="113" t="n"/>
    </row>
    <row r="126" ht="15" customHeight="1" s="62">
      <c r="A126" s="81" t="n"/>
      <c r="B126" s="113" t="n"/>
      <c r="C126" s="113" t="n"/>
      <c r="D126" s="113" t="n"/>
      <c r="E126" s="81" t="n"/>
      <c r="F126" s="113" t="n"/>
    </row>
    <row r="127" ht="15" customHeight="1" s="62">
      <c r="A127" s="81" t="n"/>
      <c r="B127" s="113" t="n"/>
      <c r="C127" s="113" t="n"/>
      <c r="D127" s="113" t="n"/>
      <c r="E127" s="81" t="n"/>
      <c r="F127" s="113" t="n"/>
    </row>
    <row r="128" ht="15" customHeight="1" s="62">
      <c r="A128" s="81" t="n"/>
      <c r="B128" s="113" t="n"/>
      <c r="C128" s="113" t="n"/>
      <c r="D128" s="113" t="n"/>
      <c r="E128" s="81" t="n"/>
      <c r="F128" s="113" t="n"/>
    </row>
    <row r="129" ht="15" customHeight="1" s="62">
      <c r="A129" s="81" t="n"/>
      <c r="B129" s="113" t="n"/>
      <c r="C129" s="113" t="n"/>
      <c r="D129" s="113" t="n"/>
      <c r="E129" s="81" t="n"/>
      <c r="F129" s="113" t="n"/>
    </row>
    <row r="130" ht="15" customHeight="1" s="62">
      <c r="A130" s="81" t="n"/>
      <c r="B130" s="113" t="n"/>
      <c r="C130" s="113" t="n"/>
      <c r="D130" s="113" t="n"/>
      <c r="E130" s="81" t="n"/>
      <c r="F130" s="113" t="n"/>
    </row>
    <row r="131" ht="15" customHeight="1" s="62">
      <c r="A131" s="81" t="n"/>
      <c r="B131" s="113" t="n"/>
      <c r="C131" s="113" t="n"/>
      <c r="D131" s="113" t="n"/>
      <c r="E131" s="81" t="n"/>
      <c r="F131" s="113" t="n"/>
    </row>
    <row r="132" ht="15" customHeight="1" s="62">
      <c r="A132" s="81" t="n"/>
      <c r="B132" s="113" t="n"/>
      <c r="C132" s="113" t="n"/>
      <c r="D132" s="113" t="n"/>
      <c r="E132" s="81" t="n"/>
      <c r="F132" s="113" t="n"/>
    </row>
    <row r="133" ht="15" customHeight="1" s="62">
      <c r="A133" s="81" t="n"/>
      <c r="B133" s="113" t="n"/>
      <c r="C133" s="113" t="n"/>
      <c r="D133" s="113" t="n"/>
      <c r="E133" s="81" t="n"/>
      <c r="F133" s="113" t="n"/>
    </row>
    <row r="134" ht="15" customHeight="1" s="62">
      <c r="A134" s="81" t="n"/>
      <c r="B134" s="113" t="n"/>
      <c r="C134" s="113" t="n"/>
      <c r="D134" s="113" t="n"/>
      <c r="E134" s="81" t="n"/>
      <c r="F134" s="113" t="n"/>
    </row>
    <row r="135" ht="15" customHeight="1" s="62">
      <c r="A135" s="81" t="n"/>
      <c r="B135" s="113" t="n"/>
      <c r="C135" s="113" t="n"/>
      <c r="D135" s="113" t="n"/>
      <c r="E135" s="81" t="n"/>
      <c r="F135" s="113" t="n"/>
    </row>
    <row r="136" ht="15" customHeight="1" s="62">
      <c r="A136" s="81" t="n"/>
      <c r="B136" s="113" t="n"/>
      <c r="C136" s="113" t="n"/>
      <c r="D136" s="113" t="n"/>
      <c r="E136" s="81" t="n"/>
      <c r="F136" s="113" t="n"/>
    </row>
    <row r="137" ht="15" customHeight="1" s="62">
      <c r="A137" s="81" t="n"/>
      <c r="B137" s="113" t="n"/>
      <c r="C137" s="113" t="n"/>
      <c r="D137" s="113" t="n"/>
      <c r="E137" s="81" t="n"/>
      <c r="F137" s="113" t="n"/>
    </row>
    <row r="138" ht="15" customHeight="1" s="62">
      <c r="A138" s="81" t="n"/>
      <c r="B138" s="113" t="n"/>
      <c r="C138" s="113" t="n"/>
      <c r="D138" s="113" t="n"/>
      <c r="E138" s="81" t="n"/>
      <c r="F138" s="113" t="n"/>
    </row>
    <row r="139" ht="15" customHeight="1" s="62">
      <c r="A139" s="81" t="n"/>
      <c r="B139" s="113" t="n"/>
      <c r="C139" s="113" t="n"/>
      <c r="D139" s="113" t="n"/>
      <c r="E139" s="81" t="n"/>
      <c r="F139" s="113" t="n"/>
    </row>
    <row r="140" ht="15" customHeight="1" s="62">
      <c r="A140" s="81" t="n"/>
      <c r="B140" s="113" t="n"/>
      <c r="C140" s="113" t="n"/>
      <c r="D140" s="113" t="n"/>
      <c r="E140" s="81" t="n"/>
      <c r="F140" s="113" t="n"/>
    </row>
    <row r="141" ht="15" customHeight="1" s="62">
      <c r="A141" s="81" t="n"/>
      <c r="B141" s="113" t="n"/>
      <c r="C141" s="113" t="n"/>
      <c r="D141" s="113" t="n"/>
      <c r="E141" s="81" t="n"/>
      <c r="F141" s="113" t="n"/>
    </row>
    <row r="142" ht="15" customHeight="1" s="62">
      <c r="A142" s="81" t="n"/>
      <c r="B142" s="113" t="n"/>
      <c r="C142" s="113" t="n"/>
      <c r="D142" s="113" t="n"/>
      <c r="E142" s="81" t="n"/>
      <c r="F142" s="113" t="n"/>
    </row>
    <row r="143" ht="15" customHeight="1" s="62">
      <c r="A143" s="81" t="n"/>
      <c r="B143" s="113" t="n"/>
      <c r="C143" s="113" t="n"/>
      <c r="D143" s="113" t="n"/>
      <c r="E143" s="81" t="n"/>
      <c r="F143" s="113" t="n"/>
    </row>
    <row r="144" ht="15" customHeight="1" s="62">
      <c r="A144" s="81" t="n"/>
      <c r="B144" s="113" t="n"/>
      <c r="C144" s="113" t="n"/>
      <c r="D144" s="113" t="n"/>
      <c r="E144" s="81" t="n"/>
      <c r="F144" s="113" t="n"/>
    </row>
    <row r="145" ht="15" customHeight="1" s="62">
      <c r="A145" s="81" t="n"/>
      <c r="B145" s="113" t="n"/>
      <c r="C145" s="113" t="n"/>
      <c r="D145" s="113" t="n"/>
      <c r="E145" s="81" t="n"/>
      <c r="F145" s="113" t="n"/>
    </row>
    <row r="146" ht="15" customHeight="1" s="62">
      <c r="A146" s="81" t="n"/>
      <c r="B146" s="113" t="n"/>
      <c r="C146" s="113" t="n"/>
      <c r="D146" s="113" t="n"/>
      <c r="E146" s="81" t="n"/>
      <c r="F146" s="113" t="n"/>
    </row>
    <row r="147" ht="15" customHeight="1" s="62">
      <c r="A147" s="81" t="n"/>
      <c r="B147" s="113" t="n"/>
      <c r="C147" s="113" t="n"/>
      <c r="D147" s="113" t="n"/>
      <c r="E147" s="81" t="n"/>
      <c r="F147" s="113" t="n"/>
    </row>
    <row r="148" ht="15" customHeight="1" s="62">
      <c r="A148" s="81" t="n"/>
      <c r="B148" s="113" t="n"/>
      <c r="C148" s="113" t="n"/>
      <c r="D148" s="113" t="n"/>
      <c r="E148" s="81" t="n"/>
      <c r="F148" s="113" t="n"/>
    </row>
    <row r="149" ht="15" customHeight="1" s="62">
      <c r="A149" s="81" t="n"/>
      <c r="B149" s="113" t="n"/>
      <c r="C149" s="113" t="n"/>
      <c r="D149" s="113" t="n"/>
      <c r="E149" s="81" t="n"/>
      <c r="F149" s="113" t="n"/>
    </row>
    <row r="150" ht="15" customHeight="1" s="62">
      <c r="A150" s="81" t="n"/>
      <c r="B150" s="113" t="n"/>
      <c r="C150" s="113" t="n"/>
      <c r="D150" s="113" t="n"/>
      <c r="E150" s="81" t="n"/>
      <c r="F150" s="113" t="n"/>
    </row>
    <row r="151" ht="15" customHeight="1" s="62">
      <c r="A151" s="81" t="n"/>
      <c r="B151" s="113" t="n"/>
      <c r="C151" s="113" t="n"/>
      <c r="D151" s="113" t="n"/>
      <c r="E151" s="81" t="n"/>
      <c r="F151" s="113" t="n"/>
    </row>
    <row r="152" ht="15" customHeight="1" s="62">
      <c r="A152" s="81" t="n"/>
      <c r="B152" s="113" t="n"/>
      <c r="C152" s="113" t="n"/>
      <c r="D152" s="113" t="n"/>
      <c r="E152" s="81" t="n"/>
      <c r="F152" s="113" t="n"/>
    </row>
    <row r="153" ht="15" customHeight="1" s="62">
      <c r="A153" s="81" t="n"/>
      <c r="B153" s="113" t="n"/>
      <c r="C153" s="113" t="n"/>
      <c r="D153" s="113" t="n"/>
      <c r="E153" s="81" t="n"/>
      <c r="F153" s="113" t="n"/>
    </row>
    <row r="154" ht="15" customHeight="1" s="62">
      <c r="A154" s="81" t="n"/>
      <c r="B154" s="113" t="n"/>
      <c r="C154" s="113" t="n"/>
      <c r="D154" s="113" t="n"/>
      <c r="E154" s="81" t="n"/>
      <c r="F154" s="113" t="n"/>
    </row>
    <row r="155" ht="15" customHeight="1" s="62">
      <c r="A155" s="81" t="n"/>
      <c r="B155" s="113" t="n"/>
      <c r="C155" s="113" t="n"/>
      <c r="D155" s="113" t="n"/>
      <c r="E155" s="81" t="n"/>
      <c r="F155" s="113" t="n"/>
    </row>
    <row r="156" ht="15" customHeight="1" s="62">
      <c r="A156" s="81" t="n"/>
      <c r="B156" s="113" t="n"/>
      <c r="C156" s="113" t="n"/>
      <c r="D156" s="113" t="n"/>
      <c r="E156" s="81" t="n"/>
      <c r="F156" s="113" t="n"/>
    </row>
    <row r="157" ht="15" customHeight="1" s="62">
      <c r="A157" s="81" t="n"/>
      <c r="B157" s="113" t="n"/>
      <c r="C157" s="113" t="n"/>
      <c r="D157" s="113" t="n"/>
      <c r="E157" s="81" t="n"/>
      <c r="F157" s="113" t="n"/>
    </row>
    <row r="158" ht="15" customHeight="1" s="62">
      <c r="A158" s="81" t="n"/>
      <c r="B158" s="113" t="n"/>
      <c r="C158" s="113" t="n"/>
      <c r="D158" s="113" t="n"/>
      <c r="E158" s="81" t="n"/>
      <c r="F158" s="113" t="n"/>
    </row>
    <row r="159" ht="15" customHeight="1" s="62">
      <c r="A159" s="81" t="n"/>
      <c r="B159" s="113" t="n"/>
      <c r="C159" s="113" t="n"/>
      <c r="D159" s="113" t="n"/>
      <c r="E159" s="81" t="n"/>
      <c r="F159" s="113" t="n"/>
    </row>
    <row r="160" ht="15" customHeight="1" s="62">
      <c r="A160" s="81" t="n"/>
      <c r="B160" s="113" t="n"/>
      <c r="C160" s="113" t="n"/>
      <c r="D160" s="113" t="n"/>
      <c r="E160" s="81" t="n"/>
      <c r="F160" s="113" t="n"/>
    </row>
    <row r="161" ht="15" customHeight="1" s="62">
      <c r="A161" s="81" t="n"/>
      <c r="B161" s="113" t="n"/>
      <c r="C161" s="113" t="n"/>
      <c r="D161" s="113" t="n"/>
      <c r="E161" s="81" t="n"/>
      <c r="F161" s="113" t="n"/>
    </row>
    <row r="162" ht="15" customHeight="1" s="62">
      <c r="A162" s="81" t="n"/>
      <c r="B162" s="113" t="n"/>
      <c r="C162" s="113" t="n"/>
      <c r="D162" s="113" t="n"/>
      <c r="E162" s="81" t="n"/>
      <c r="F162" s="113" t="n"/>
    </row>
    <row r="163" ht="15" customHeight="1" s="62">
      <c r="A163" s="81" t="n"/>
      <c r="B163" s="113" t="n"/>
      <c r="C163" s="113" t="n"/>
      <c r="D163" s="113" t="n"/>
      <c r="E163" s="81" t="n"/>
      <c r="F163" s="113" t="n"/>
    </row>
    <row r="164" ht="15" customHeight="1" s="62">
      <c r="A164" s="81" t="n"/>
      <c r="B164" s="113" t="n"/>
      <c r="C164" s="113" t="n"/>
      <c r="D164" s="113" t="n"/>
      <c r="E164" s="81" t="n"/>
      <c r="F164" s="113" t="n"/>
    </row>
    <row r="165" ht="15" customHeight="1" s="62">
      <c r="A165" s="81" t="n"/>
      <c r="B165" s="113" t="n"/>
      <c r="C165" s="113" t="n"/>
      <c r="D165" s="113" t="n"/>
      <c r="E165" s="81" t="n"/>
      <c r="F165" s="113" t="n"/>
    </row>
    <row r="166" ht="15" customHeight="1" s="62">
      <c r="A166" s="81" t="n"/>
      <c r="B166" s="113" t="n"/>
      <c r="C166" s="113" t="n"/>
      <c r="D166" s="113" t="n"/>
      <c r="E166" s="81" t="n"/>
      <c r="F166" s="113" t="n"/>
    </row>
    <row r="167" ht="15" customHeight="1" s="62">
      <c r="A167" s="81" t="n"/>
      <c r="B167" s="113" t="n"/>
      <c r="C167" s="113" t="n"/>
      <c r="D167" s="113" t="n"/>
      <c r="E167" s="81" t="n"/>
      <c r="F167" s="113" t="n"/>
    </row>
    <row r="168" ht="15" customHeight="1" s="62">
      <c r="A168" s="81" t="n"/>
      <c r="B168" s="113" t="n"/>
      <c r="C168" s="113" t="n"/>
      <c r="D168" s="113" t="n"/>
      <c r="E168" s="81" t="n"/>
      <c r="F168" s="113" t="n"/>
    </row>
    <row r="169" ht="15" customHeight="1" s="62">
      <c r="A169" s="81" t="n"/>
      <c r="B169" s="113" t="n"/>
      <c r="C169" s="113" t="n"/>
      <c r="D169" s="113" t="n"/>
      <c r="E169" s="81" t="n"/>
      <c r="F169" s="113" t="n"/>
    </row>
    <row r="170" ht="15" customHeight="1" s="62">
      <c r="A170" s="81" t="n"/>
      <c r="B170" s="113" t="n"/>
      <c r="C170" s="113" t="n"/>
      <c r="D170" s="113" t="n"/>
      <c r="E170" s="81" t="n"/>
      <c r="F170" s="113" t="n"/>
    </row>
    <row r="171" ht="15" customHeight="1" s="62">
      <c r="A171" s="81" t="n"/>
      <c r="B171" s="113" t="n"/>
      <c r="C171" s="113" t="n"/>
      <c r="D171" s="113" t="n"/>
      <c r="E171" s="81" t="n"/>
      <c r="F171" s="113" t="n"/>
    </row>
    <row r="172" ht="15" customHeight="1" s="62">
      <c r="A172" s="81" t="n"/>
      <c r="B172" s="113" t="n"/>
      <c r="C172" s="113" t="n"/>
      <c r="D172" s="113" t="n"/>
      <c r="E172" s="81" t="n"/>
      <c r="F172" s="113" t="n"/>
    </row>
    <row r="173" ht="15" customHeight="1" s="62">
      <c r="A173" s="81" t="n"/>
      <c r="B173" s="113" t="n"/>
      <c r="C173" s="113" t="n"/>
      <c r="D173" s="113" t="n"/>
      <c r="E173" s="81" t="n"/>
      <c r="F173" s="113" t="n"/>
    </row>
    <row r="174" ht="15" customHeight="1" s="62">
      <c r="A174" s="81" t="n"/>
      <c r="B174" s="113" t="n"/>
      <c r="C174" s="113" t="n"/>
      <c r="D174" s="113" t="n"/>
      <c r="E174" s="81" t="n"/>
      <c r="F174" s="113" t="n"/>
    </row>
    <row r="175" ht="15" customHeight="1" s="62">
      <c r="A175" s="81" t="n"/>
      <c r="B175" s="113" t="n"/>
      <c r="C175" s="113" t="n"/>
      <c r="D175" s="113" t="n"/>
      <c r="E175" s="81" t="n"/>
      <c r="F175" s="113" t="n"/>
    </row>
    <row r="176" ht="15" customHeight="1" s="62">
      <c r="A176" s="81" t="n"/>
      <c r="B176" s="113" t="n"/>
      <c r="C176" s="113" t="n"/>
      <c r="D176" s="113" t="n"/>
      <c r="E176" s="81" t="n"/>
      <c r="F176" s="113" t="n"/>
    </row>
    <row r="177" ht="15" customHeight="1" s="62">
      <c r="A177" s="81" t="n"/>
      <c r="B177" s="113" t="n"/>
      <c r="C177" s="113" t="n"/>
      <c r="D177" s="113" t="n"/>
      <c r="E177" s="81" t="n"/>
      <c r="F177" s="113" t="n"/>
    </row>
    <row r="178" ht="15" customHeight="1" s="62">
      <c r="A178" s="81" t="n"/>
      <c r="B178" s="113" t="n"/>
      <c r="C178" s="113" t="n"/>
      <c r="D178" s="113" t="n"/>
      <c r="E178" s="81" t="n"/>
      <c r="F178" s="113" t="n"/>
    </row>
    <row r="179" ht="15" customHeight="1" s="62">
      <c r="A179" s="81" t="n"/>
      <c r="B179" s="113" t="n"/>
      <c r="C179" s="113" t="n"/>
      <c r="D179" s="113" t="n"/>
      <c r="E179" s="81" t="n"/>
      <c r="F179" s="113" t="n"/>
    </row>
    <row r="180" ht="15" customHeight="1" s="62">
      <c r="A180" s="81" t="n"/>
      <c r="B180" s="113" t="n"/>
      <c r="C180" s="113" t="n"/>
      <c r="D180" s="113" t="n"/>
      <c r="E180" s="81" t="n"/>
      <c r="F180" s="113" t="n"/>
    </row>
    <row r="181" ht="15" customHeight="1" s="62">
      <c r="A181" s="81" t="n"/>
      <c r="B181" s="113" t="n"/>
      <c r="C181" s="113" t="n"/>
      <c r="D181" s="113" t="n"/>
      <c r="E181" s="81" t="n"/>
      <c r="F181" s="113" t="n"/>
    </row>
    <row r="182" ht="15" customHeight="1" s="62">
      <c r="A182" s="81" t="n"/>
      <c r="B182" s="113" t="n"/>
      <c r="C182" s="113" t="n"/>
      <c r="D182" s="113" t="n"/>
      <c r="E182" s="81" t="n"/>
      <c r="F182" s="113" t="n"/>
    </row>
    <row r="183" ht="15" customHeight="1" s="62">
      <c r="A183" s="81" t="n"/>
      <c r="B183" s="113" t="n"/>
      <c r="C183" s="113" t="n"/>
      <c r="D183" s="113" t="n"/>
      <c r="E183" s="81" t="n"/>
      <c r="F183" s="113" t="n"/>
    </row>
    <row r="184" ht="15" customHeight="1" s="62">
      <c r="A184" s="81" t="n"/>
      <c r="B184" s="113" t="n"/>
      <c r="C184" s="113" t="n"/>
      <c r="D184" s="113" t="n"/>
      <c r="E184" s="81" t="n"/>
      <c r="F184" s="113" t="n"/>
    </row>
    <row r="185" ht="15" customHeight="1" s="62">
      <c r="A185" s="81" t="n"/>
      <c r="B185" s="113" t="n"/>
      <c r="C185" s="113" t="n"/>
      <c r="D185" s="113" t="n"/>
      <c r="E185" s="81" t="n"/>
      <c r="F185" s="113" t="n"/>
    </row>
    <row r="186" ht="15" customHeight="1" s="62">
      <c r="A186" s="81" t="n"/>
      <c r="B186" s="113" t="n"/>
      <c r="C186" s="113" t="n"/>
      <c r="D186" s="113" t="n"/>
      <c r="E186" s="81" t="n"/>
      <c r="F186" s="113" t="n"/>
    </row>
    <row r="187" ht="15" customHeight="1" s="62">
      <c r="A187" s="81" t="n"/>
      <c r="B187" s="113" t="n"/>
      <c r="C187" s="113" t="n"/>
      <c r="D187" s="113" t="n"/>
      <c r="E187" s="81" t="n"/>
      <c r="F187" s="113" t="n"/>
    </row>
    <row r="188" ht="15" customHeight="1" s="62">
      <c r="A188" s="81" t="n"/>
      <c r="B188" s="113" t="n"/>
      <c r="C188" s="113" t="n"/>
      <c r="D188" s="113" t="n"/>
      <c r="E188" s="81" t="n"/>
      <c r="F188" s="113" t="n"/>
    </row>
    <row r="189" ht="15" customHeight="1" s="62">
      <c r="A189" s="81" t="n"/>
      <c r="B189" s="113" t="n"/>
      <c r="C189" s="113" t="n"/>
      <c r="D189" s="113" t="n"/>
      <c r="E189" s="81" t="n"/>
      <c r="F189" s="113" t="n"/>
    </row>
    <row r="190" ht="15" customHeight="1" s="62">
      <c r="A190" s="81" t="n"/>
      <c r="B190" s="113" t="n"/>
      <c r="C190" s="113" t="n"/>
      <c r="D190" s="113" t="n"/>
      <c r="E190" s="81" t="n"/>
      <c r="F190" s="113" t="n"/>
    </row>
    <row r="191" ht="15" customHeight="1" s="62">
      <c r="A191" s="81" t="n"/>
      <c r="B191" s="113" t="n"/>
      <c r="C191" s="113" t="n"/>
      <c r="D191" s="113" t="n"/>
      <c r="E191" s="81" t="n"/>
      <c r="F191" s="113" t="n"/>
    </row>
    <row r="192" ht="15" customHeight="1" s="62">
      <c r="A192" s="81" t="n"/>
      <c r="B192" s="113" t="n"/>
      <c r="C192" s="113" t="n"/>
      <c r="D192" s="113" t="n"/>
      <c r="E192" s="81" t="n"/>
      <c r="F192" s="113" t="n"/>
    </row>
    <row r="193" ht="15" customHeight="1" s="62">
      <c r="A193" s="81" t="n"/>
      <c r="B193" s="113" t="n"/>
      <c r="C193" s="113" t="n"/>
      <c r="D193" s="113" t="n"/>
      <c r="E193" s="81" t="n"/>
      <c r="F193" s="113" t="n"/>
    </row>
    <row r="194" ht="15" customHeight="1" s="62">
      <c r="A194" s="81" t="n"/>
      <c r="B194" s="113" t="n"/>
      <c r="C194" s="113" t="n"/>
      <c r="D194" s="113" t="n"/>
      <c r="E194" s="81" t="n"/>
      <c r="F194" s="113" t="n"/>
    </row>
    <row r="195" ht="15" customHeight="1" s="62">
      <c r="A195" s="81" t="n"/>
      <c r="B195" s="113" t="n"/>
      <c r="C195" s="113" t="n"/>
      <c r="D195" s="113" t="n"/>
      <c r="E195" s="81" t="n"/>
      <c r="F195" s="113" t="n"/>
    </row>
    <row r="196" ht="15" customHeight="1" s="62">
      <c r="A196" s="81" t="n"/>
      <c r="B196" s="113" t="n"/>
      <c r="C196" s="113" t="n"/>
      <c r="D196" s="113" t="n"/>
      <c r="E196" s="81" t="n"/>
      <c r="F196" s="113" t="n"/>
    </row>
    <row r="197" ht="15" customHeight="1" s="62">
      <c r="A197" s="81" t="n"/>
      <c r="B197" s="113" t="n"/>
      <c r="C197" s="113" t="n"/>
      <c r="D197" s="113" t="n"/>
      <c r="E197" s="81" t="n"/>
      <c r="F197" s="113" t="n"/>
    </row>
    <row r="198" ht="15" customHeight="1" s="62">
      <c r="A198" s="81" t="n"/>
      <c r="B198" s="113" t="n"/>
      <c r="C198" s="113" t="n"/>
      <c r="D198" s="113" t="n"/>
      <c r="E198" s="81" t="n"/>
      <c r="F198" s="113" t="n"/>
    </row>
    <row r="199" ht="15" customHeight="1" s="62">
      <c r="A199" s="81" t="n"/>
      <c r="B199" s="113" t="n"/>
      <c r="C199" s="113" t="n"/>
      <c r="D199" s="113" t="n"/>
      <c r="E199" s="81" t="n"/>
      <c r="F199" s="113" t="n"/>
    </row>
    <row r="200" ht="15" customHeight="1" s="62">
      <c r="A200" s="81" t="n"/>
      <c r="B200" s="113" t="n"/>
      <c r="C200" s="113" t="n"/>
      <c r="D200" s="113" t="n"/>
      <c r="E200" s="81" t="n"/>
      <c r="F200" s="113" t="n"/>
    </row>
    <row r="201" ht="15" customHeight="1" s="62">
      <c r="A201" s="81" t="n"/>
      <c r="B201" s="113" t="n"/>
      <c r="C201" s="113" t="n"/>
      <c r="D201" s="113" t="n"/>
      <c r="E201" s="81" t="n"/>
      <c r="F201" s="113" t="n"/>
    </row>
    <row r="202" ht="15" customHeight="1" s="62">
      <c r="A202" s="81" t="n"/>
      <c r="B202" s="113" t="n"/>
      <c r="C202" s="113" t="n"/>
      <c r="D202" s="113" t="n"/>
      <c r="E202" s="81" t="n"/>
      <c r="F202" s="113" t="n"/>
    </row>
    <row r="203" ht="15" customHeight="1" s="62">
      <c r="A203" s="81" t="n"/>
      <c r="B203" s="113" t="n"/>
      <c r="C203" s="113" t="n"/>
      <c r="D203" s="113" t="n"/>
      <c r="E203" s="81" t="n"/>
      <c r="F203" s="113" t="n"/>
    </row>
    <row r="204" ht="15" customHeight="1" s="62">
      <c r="A204" s="81" t="n"/>
      <c r="B204" s="113" t="n"/>
      <c r="C204" s="113" t="n"/>
      <c r="D204" s="113" t="n"/>
      <c r="E204" s="81" t="n"/>
      <c r="F204" s="113" t="n"/>
    </row>
    <row r="205" ht="15" customHeight="1" s="62">
      <c r="A205" s="81" t="n"/>
      <c r="B205" s="113" t="n"/>
      <c r="C205" s="113" t="n"/>
      <c r="D205" s="113" t="n"/>
      <c r="E205" s="81" t="n"/>
      <c r="F205" s="113" t="n"/>
    </row>
    <row r="206" ht="15" customHeight="1" s="62">
      <c r="A206" s="81" t="n"/>
      <c r="B206" s="113" t="n"/>
      <c r="C206" s="113" t="n"/>
      <c r="D206" s="113" t="n"/>
      <c r="E206" s="81" t="n"/>
      <c r="F206" s="113" t="n"/>
    </row>
    <row r="207" ht="15" customHeight="1" s="62">
      <c r="A207" s="81" t="n"/>
      <c r="B207" s="113" t="n"/>
      <c r="C207" s="113" t="n"/>
      <c r="D207" s="113" t="n"/>
      <c r="E207" s="81" t="n"/>
      <c r="F207" s="113" t="n"/>
    </row>
    <row r="208" ht="15" customHeight="1" s="62">
      <c r="A208" s="81" t="n"/>
      <c r="B208" s="113" t="n"/>
      <c r="C208" s="113" t="n"/>
      <c r="D208" s="113" t="n"/>
      <c r="E208" s="81" t="n"/>
      <c r="F208" s="113" t="n"/>
    </row>
    <row r="209" ht="15" customHeight="1" s="62">
      <c r="A209" s="81" t="n"/>
      <c r="B209" s="113" t="n"/>
      <c r="C209" s="113" t="n"/>
      <c r="D209" s="113" t="n"/>
      <c r="E209" s="81" t="n"/>
      <c r="F209" s="113" t="n"/>
    </row>
    <row r="210" ht="15" customHeight="1" s="62">
      <c r="A210" s="81" t="n"/>
      <c r="B210" s="113" t="n"/>
      <c r="C210" s="113" t="n"/>
      <c r="D210" s="113" t="n"/>
      <c r="E210" s="81" t="n"/>
      <c r="F210" s="113" t="n"/>
    </row>
    <row r="211" ht="15" customHeight="1" s="62">
      <c r="A211" s="81" t="n"/>
      <c r="B211" s="113" t="n"/>
      <c r="C211" s="113" t="n"/>
      <c r="D211" s="113" t="n"/>
      <c r="E211" s="81" t="n"/>
      <c r="F211" s="113" t="n"/>
    </row>
    <row r="212" ht="15" customHeight="1" s="62">
      <c r="A212" s="81" t="n"/>
      <c r="B212" s="113" t="n"/>
      <c r="C212" s="113" t="n"/>
      <c r="D212" s="113" t="n"/>
      <c r="E212" s="81" t="n"/>
      <c r="F212" s="113" t="n"/>
    </row>
    <row r="213" ht="15" customHeight="1" s="62">
      <c r="A213" s="81" t="n"/>
      <c r="B213" s="113" t="n"/>
      <c r="C213" s="113" t="n"/>
      <c r="D213" s="113" t="n"/>
      <c r="E213" s="81" t="n"/>
      <c r="F213" s="113" t="n"/>
    </row>
    <row r="214" ht="15" customHeight="1" s="62">
      <c r="A214" s="81" t="n"/>
      <c r="B214" s="113" t="n"/>
      <c r="C214" s="113" t="n"/>
      <c r="D214" s="113" t="n"/>
      <c r="E214" s="81" t="n"/>
      <c r="F214" s="113" t="n"/>
    </row>
    <row r="215" ht="15" customHeight="1" s="62">
      <c r="A215" s="81" t="n"/>
      <c r="B215" s="113" t="n"/>
      <c r="C215" s="113" t="n"/>
      <c r="D215" s="113" t="n"/>
      <c r="E215" s="81" t="n"/>
      <c r="F215" s="113" t="n"/>
    </row>
    <row r="216" ht="15" customHeight="1" s="62">
      <c r="A216" s="81" t="n"/>
      <c r="B216" s="113" t="n"/>
      <c r="C216" s="113" t="n"/>
      <c r="D216" s="113" t="n"/>
      <c r="E216" s="81" t="n"/>
      <c r="F216" s="113" t="n"/>
    </row>
    <row r="217" ht="15" customHeight="1" s="62">
      <c r="A217" s="81" t="n"/>
      <c r="B217" s="113" t="n"/>
      <c r="C217" s="113" t="n"/>
      <c r="D217" s="113" t="n"/>
      <c r="E217" s="81" t="n"/>
      <c r="F217" s="113" t="n"/>
    </row>
    <row r="218" ht="15" customHeight="1" s="62">
      <c r="A218" s="81" t="n"/>
      <c r="B218" s="113" t="n"/>
      <c r="C218" s="113" t="n"/>
      <c r="D218" s="113" t="n"/>
      <c r="E218" s="81" t="n"/>
      <c r="F218" s="113" t="n"/>
    </row>
    <row r="219" ht="15" customHeight="1" s="62">
      <c r="A219" s="81" t="n"/>
      <c r="B219" s="113" t="n"/>
      <c r="C219" s="113" t="n"/>
      <c r="D219" s="113" t="n"/>
      <c r="E219" s="81" t="n"/>
      <c r="F219" s="113" t="n"/>
    </row>
    <row r="220" ht="15" customHeight="1" s="62">
      <c r="A220" s="81" t="n"/>
      <c r="B220" s="113" t="n"/>
      <c r="C220" s="113" t="n"/>
      <c r="D220" s="113" t="n"/>
      <c r="E220" s="81" t="n"/>
      <c r="F220" s="113" t="n"/>
    </row>
    <row r="221" ht="15" customHeight="1" s="62">
      <c r="A221" s="81" t="n"/>
      <c r="B221" s="113" t="n"/>
      <c r="C221" s="113" t="n"/>
      <c r="D221" s="113" t="n"/>
      <c r="E221" s="81" t="n"/>
      <c r="F221" s="113" t="n"/>
    </row>
    <row r="222" ht="15" customHeight="1" s="62">
      <c r="A222" s="81" t="n"/>
      <c r="B222" s="113" t="n"/>
      <c r="C222" s="113" t="n"/>
      <c r="D222" s="113" t="n"/>
      <c r="E222" s="81" t="n"/>
      <c r="F222" s="113" t="n"/>
    </row>
    <row r="223" ht="15" customHeight="1" s="62">
      <c r="A223" s="81" t="n"/>
      <c r="B223" s="113" t="n"/>
      <c r="C223" s="113" t="n"/>
      <c r="D223" s="113" t="n"/>
      <c r="E223" s="81" t="n"/>
      <c r="F223" s="113" t="n"/>
    </row>
    <row r="224" ht="15" customHeight="1" s="62">
      <c r="A224" s="81" t="n"/>
      <c r="B224" s="113" t="n"/>
      <c r="C224" s="113" t="n"/>
      <c r="D224" s="113" t="n"/>
      <c r="E224" s="81" t="n"/>
      <c r="F224" s="113" t="n"/>
    </row>
    <row r="225" ht="15" customHeight="1" s="62">
      <c r="A225" s="81" t="n"/>
      <c r="B225" s="113" t="n"/>
      <c r="C225" s="113" t="n"/>
      <c r="D225" s="113" t="n"/>
      <c r="E225" s="81" t="n"/>
      <c r="F225" s="113" t="n"/>
    </row>
    <row r="226" ht="15" customHeight="1" s="62">
      <c r="A226" s="81" t="n"/>
      <c r="B226" s="113" t="n"/>
      <c r="C226" s="113" t="n"/>
      <c r="D226" s="113" t="n"/>
      <c r="E226" s="81" t="n"/>
      <c r="F226" s="113" t="n"/>
    </row>
    <row r="227" ht="15" customHeight="1" s="62">
      <c r="A227" s="81" t="n"/>
      <c r="B227" s="113" t="n"/>
      <c r="C227" s="113" t="n"/>
      <c r="D227" s="113" t="n"/>
      <c r="E227" s="81" t="n"/>
      <c r="F227" s="113" t="n"/>
    </row>
    <row r="228" ht="15" customHeight="1" s="62">
      <c r="A228" s="81" t="n"/>
      <c r="B228" s="113" t="n"/>
      <c r="C228" s="113" t="n"/>
      <c r="D228" s="113" t="n"/>
      <c r="E228" s="81" t="n"/>
      <c r="F228" s="113" t="n"/>
    </row>
    <row r="229" ht="15" customHeight="1" s="62">
      <c r="A229" s="81" t="n"/>
      <c r="B229" s="113" t="n"/>
      <c r="C229" s="113" t="n"/>
      <c r="D229" s="113" t="n"/>
      <c r="E229" s="81" t="n"/>
      <c r="F229" s="113" t="n"/>
    </row>
    <row r="230" ht="15" customHeight="1" s="62">
      <c r="A230" s="81" t="n"/>
      <c r="B230" s="113" t="n"/>
      <c r="C230" s="113" t="n"/>
      <c r="D230" s="113" t="n"/>
      <c r="E230" s="81" t="n"/>
      <c r="F230" s="113" t="n"/>
    </row>
    <row r="231" ht="15" customHeight="1" s="62">
      <c r="A231" s="81" t="n"/>
      <c r="B231" s="113" t="n"/>
      <c r="C231" s="113" t="n"/>
      <c r="D231" s="113" t="n"/>
      <c r="E231" s="81" t="n"/>
      <c r="F231" s="113" t="n"/>
    </row>
    <row r="232" ht="15" customHeight="1" s="62">
      <c r="A232" s="81" t="n"/>
      <c r="B232" s="113" t="n"/>
      <c r="C232" s="113" t="n"/>
      <c r="D232" s="113" t="n"/>
      <c r="E232" s="81" t="n"/>
      <c r="F232" s="113" t="n"/>
    </row>
    <row r="233" ht="15" customHeight="1" s="62">
      <c r="A233" s="81" t="n"/>
      <c r="B233" s="113" t="n"/>
      <c r="C233" s="113" t="n"/>
      <c r="D233" s="113" t="n"/>
      <c r="E233" s="81" t="n"/>
      <c r="F233" s="113" t="n"/>
    </row>
    <row r="234" ht="15" customHeight="1" s="62">
      <c r="A234" s="81" t="n"/>
      <c r="B234" s="113" t="n"/>
      <c r="C234" s="113" t="n"/>
      <c r="D234" s="113" t="n"/>
      <c r="E234" s="81" t="n"/>
      <c r="F234" s="113" t="n"/>
    </row>
    <row r="235" ht="15" customHeight="1" s="62">
      <c r="A235" s="81" t="n"/>
      <c r="B235" s="113" t="n"/>
      <c r="C235" s="113" t="n"/>
      <c r="D235" s="113" t="n"/>
      <c r="E235" s="81" t="n"/>
      <c r="F235" s="113" t="n"/>
    </row>
    <row r="236" ht="15" customHeight="1" s="62">
      <c r="A236" s="81" t="n"/>
      <c r="B236" s="113" t="n"/>
      <c r="C236" s="113" t="n"/>
      <c r="D236" s="113" t="n"/>
      <c r="E236" s="81" t="n"/>
      <c r="F236" s="113" t="n"/>
    </row>
    <row r="237" ht="15" customHeight="1" s="62">
      <c r="A237" s="81" t="n"/>
      <c r="B237" s="113" t="n"/>
      <c r="C237" s="113" t="n"/>
      <c r="D237" s="113" t="n"/>
      <c r="E237" s="81" t="n"/>
      <c r="F237" s="113" t="n"/>
    </row>
    <row r="238" ht="15" customHeight="1" s="62">
      <c r="A238" s="81" t="n"/>
      <c r="B238" s="113" t="n"/>
      <c r="C238" s="113" t="n"/>
      <c r="D238" s="113" t="n"/>
      <c r="E238" s="81" t="n"/>
      <c r="F238" s="113" t="n"/>
    </row>
    <row r="239" ht="15" customHeight="1" s="62">
      <c r="A239" s="81" t="n"/>
      <c r="B239" s="113" t="n"/>
      <c r="C239" s="113" t="n"/>
      <c r="D239" s="113" t="n"/>
      <c r="E239" s="81" t="n"/>
      <c r="F239" s="113" t="n"/>
    </row>
    <row r="240" ht="15" customHeight="1" s="62">
      <c r="A240" s="81" t="n"/>
      <c r="B240" s="113" t="n"/>
      <c r="C240" s="113" t="n"/>
      <c r="D240" s="113" t="n"/>
      <c r="E240" s="81" t="n"/>
      <c r="F240" s="113" t="n"/>
    </row>
    <row r="241" ht="15" customHeight="1" s="62">
      <c r="A241" s="81" t="n"/>
      <c r="B241" s="113" t="n"/>
      <c r="C241" s="113" t="n"/>
      <c r="D241" s="113" t="n"/>
      <c r="E241" s="81" t="n"/>
      <c r="F241" s="113" t="n"/>
    </row>
    <row r="242" ht="15" customHeight="1" s="62">
      <c r="A242" s="81" t="n"/>
      <c r="B242" s="113" t="n"/>
      <c r="C242" s="113" t="n"/>
      <c r="D242" s="113" t="n"/>
      <c r="E242" s="81" t="n"/>
      <c r="F242" s="113" t="n"/>
    </row>
    <row r="243" ht="15" customHeight="1" s="62">
      <c r="A243" s="81" t="n"/>
      <c r="B243" s="113" t="n"/>
      <c r="C243" s="113" t="n"/>
      <c r="D243" s="113" t="n"/>
      <c r="E243" s="81" t="n"/>
      <c r="F243" s="113" t="n"/>
    </row>
    <row r="244" ht="15" customHeight="1" s="62">
      <c r="A244" s="81" t="n"/>
      <c r="B244" s="113" t="n"/>
      <c r="C244" s="113" t="n"/>
      <c r="D244" s="113" t="n"/>
      <c r="E244" s="81" t="n"/>
      <c r="F244" s="113" t="n"/>
    </row>
    <row r="245" ht="15" customHeight="1" s="62">
      <c r="A245" s="81" t="n"/>
      <c r="B245" s="113" t="n"/>
      <c r="C245" s="113" t="n"/>
      <c r="D245" s="113" t="n"/>
      <c r="E245" s="81" t="n"/>
      <c r="F245" s="113" t="n"/>
    </row>
    <row r="246" ht="15" customHeight="1" s="62">
      <c r="A246" s="81" t="n"/>
      <c r="B246" s="113" t="n"/>
      <c r="C246" s="113" t="n"/>
      <c r="D246" s="113" t="n"/>
      <c r="E246" s="81" t="n"/>
      <c r="F246" s="113" t="n"/>
    </row>
    <row r="247" ht="15" customHeight="1" s="62">
      <c r="A247" s="81" t="n"/>
      <c r="B247" s="113" t="n"/>
      <c r="C247" s="113" t="n"/>
      <c r="D247" s="113" t="n"/>
      <c r="E247" s="81" t="n"/>
      <c r="F247" s="113" t="n"/>
    </row>
    <row r="248" ht="15" customHeight="1" s="62">
      <c r="A248" s="81" t="n"/>
      <c r="B248" s="113" t="n"/>
      <c r="C248" s="113" t="n"/>
      <c r="D248" s="113" t="n"/>
      <c r="E248" s="81" t="n"/>
      <c r="F248" s="113" t="n"/>
    </row>
    <row r="249" ht="15" customHeight="1" s="62">
      <c r="A249" s="81" t="n"/>
      <c r="B249" s="113" t="n"/>
      <c r="C249" s="113" t="n"/>
      <c r="D249" s="113" t="n"/>
      <c r="E249" s="81" t="n"/>
      <c r="F249" s="113" t="n"/>
    </row>
    <row r="250" ht="15" customHeight="1" s="62">
      <c r="A250" s="81" t="n"/>
      <c r="B250" s="113" t="n"/>
      <c r="C250" s="113" t="n"/>
      <c r="D250" s="113" t="n"/>
      <c r="E250" s="81" t="n"/>
      <c r="F250" s="113" t="n"/>
    </row>
    <row r="251" ht="15" customHeight="1" s="62">
      <c r="A251" s="81" t="n"/>
      <c r="B251" s="113" t="n"/>
      <c r="C251" s="113" t="n"/>
      <c r="D251" s="113" t="n"/>
      <c r="E251" s="81" t="n"/>
      <c r="F251" s="113" t="n"/>
    </row>
    <row r="252" ht="15" customHeight="1" s="62">
      <c r="A252" s="81" t="n"/>
      <c r="B252" s="113" t="n"/>
      <c r="C252" s="113" t="n"/>
      <c r="D252" s="113" t="n"/>
      <c r="E252" s="81" t="n"/>
      <c r="F252" s="113" t="n"/>
    </row>
    <row r="253" ht="15" customHeight="1" s="62">
      <c r="A253" s="81" t="n"/>
      <c r="B253" s="113" t="n"/>
      <c r="C253" s="113" t="n"/>
      <c r="D253" s="113" t="n"/>
      <c r="E253" s="81" t="n"/>
      <c r="F253" s="113" t="n"/>
    </row>
    <row r="254" ht="15" customHeight="1" s="62">
      <c r="A254" s="81" t="n"/>
      <c r="B254" s="113" t="n"/>
      <c r="C254" s="113" t="n"/>
      <c r="D254" s="113" t="n"/>
      <c r="E254" s="81" t="n"/>
      <c r="F254" s="113" t="n"/>
    </row>
    <row r="255" ht="15" customHeight="1" s="62">
      <c r="A255" s="81" t="n"/>
      <c r="B255" s="113" t="n"/>
      <c r="C255" s="113" t="n"/>
      <c r="D255" s="113" t="n"/>
      <c r="E255" s="81" t="n"/>
      <c r="F255" s="113" t="n"/>
    </row>
    <row r="256" ht="15" customHeight="1" s="62">
      <c r="A256" s="81" t="n"/>
      <c r="B256" s="113" t="n"/>
      <c r="C256" s="113" t="n"/>
      <c r="D256" s="113" t="n"/>
      <c r="E256" s="81" t="n"/>
      <c r="F256" s="113" t="n"/>
    </row>
    <row r="257" ht="15" customHeight="1" s="62">
      <c r="A257" s="81" t="n"/>
      <c r="B257" s="113" t="n"/>
      <c r="C257" s="113" t="n"/>
      <c r="D257" s="113" t="n"/>
      <c r="E257" s="81" t="n"/>
      <c r="F257" s="113" t="n"/>
    </row>
    <row r="258" ht="15" customHeight="1" s="62">
      <c r="A258" s="81" t="n"/>
      <c r="B258" s="113" t="n"/>
      <c r="C258" s="113" t="n"/>
      <c r="D258" s="113" t="n"/>
      <c r="E258" s="81" t="n"/>
      <c r="F258" s="113" t="n"/>
    </row>
    <row r="259" ht="15" customHeight="1" s="62">
      <c r="A259" s="81" t="n"/>
      <c r="B259" s="113" t="n"/>
      <c r="C259" s="113" t="n"/>
      <c r="D259" s="113" t="n"/>
      <c r="E259" s="81" t="n"/>
      <c r="F259" s="113" t="n"/>
    </row>
    <row r="260" ht="15" customHeight="1" s="62">
      <c r="A260" s="81" t="n"/>
      <c r="B260" s="113" t="n"/>
      <c r="C260" s="113" t="n"/>
      <c r="D260" s="113" t="n"/>
      <c r="E260" s="81" t="n"/>
      <c r="F260" s="113" t="n"/>
    </row>
    <row r="261" ht="15" customHeight="1" s="62">
      <c r="A261" s="81" t="n"/>
      <c r="B261" s="113" t="n"/>
      <c r="C261" s="113" t="n"/>
      <c r="D261" s="113" t="n"/>
      <c r="E261" s="81" t="n"/>
      <c r="F261" s="113" t="n"/>
    </row>
    <row r="262" ht="15" customHeight="1" s="62">
      <c r="A262" s="81" t="n"/>
      <c r="B262" s="113" t="n"/>
      <c r="C262" s="113" t="n"/>
      <c r="D262" s="113" t="n"/>
      <c r="E262" s="81" t="n"/>
      <c r="F262" s="113" t="n"/>
    </row>
    <row r="263" ht="15" customHeight="1" s="62">
      <c r="A263" s="81" t="n"/>
      <c r="B263" s="113" t="n"/>
      <c r="C263" s="113" t="n"/>
      <c r="D263" s="113" t="n"/>
      <c r="E263" s="81" t="n"/>
      <c r="F263" s="113" t="n"/>
    </row>
    <row r="264" ht="15" customHeight="1" s="62">
      <c r="A264" s="81" t="n"/>
      <c r="B264" s="113" t="n"/>
      <c r="C264" s="113" t="n"/>
      <c r="D264" s="113" t="n"/>
      <c r="E264" s="81" t="n"/>
      <c r="F264" s="113" t="n"/>
    </row>
    <row r="265" ht="15" customHeight="1" s="62">
      <c r="A265" s="81" t="n"/>
      <c r="B265" s="113" t="n"/>
      <c r="C265" s="113" t="n"/>
      <c r="D265" s="113" t="n"/>
      <c r="E265" s="81" t="n"/>
      <c r="F265" s="113" t="n"/>
    </row>
    <row r="266" ht="15" customHeight="1" s="62">
      <c r="A266" s="81" t="n"/>
      <c r="B266" s="113" t="n"/>
      <c r="C266" s="113" t="n"/>
      <c r="D266" s="113" t="n"/>
      <c r="E266" s="81" t="n"/>
      <c r="F266" s="113" t="n"/>
    </row>
    <row r="267" ht="15" customHeight="1" s="62">
      <c r="A267" s="81" t="n"/>
      <c r="B267" s="113" t="n"/>
      <c r="C267" s="113" t="n"/>
      <c r="D267" s="113" t="n"/>
      <c r="E267" s="81" t="n"/>
      <c r="F267" s="113" t="n"/>
    </row>
    <row r="268" ht="15" customHeight="1" s="62">
      <c r="A268" s="81" t="n"/>
      <c r="B268" s="113" t="n"/>
      <c r="C268" s="113" t="n"/>
      <c r="D268" s="113" t="n"/>
      <c r="E268" s="81" t="n"/>
      <c r="F268" s="113" t="n"/>
    </row>
    <row r="269" ht="15" customHeight="1" s="62">
      <c r="A269" s="81" t="n"/>
      <c r="B269" s="113" t="n"/>
      <c r="C269" s="113" t="n"/>
      <c r="D269" s="113" t="n"/>
      <c r="E269" s="81" t="n"/>
      <c r="F269" s="113" t="n"/>
    </row>
    <row r="270" ht="15" customHeight="1" s="62">
      <c r="A270" s="81" t="n"/>
      <c r="B270" s="113" t="n"/>
      <c r="C270" s="113" t="n"/>
      <c r="D270" s="113" t="n"/>
      <c r="E270" s="81" t="n"/>
      <c r="F270" s="113" t="n"/>
    </row>
    <row r="271" ht="15" customHeight="1" s="62">
      <c r="A271" s="81" t="n"/>
      <c r="B271" s="113" t="n"/>
      <c r="C271" s="113" t="n"/>
      <c r="D271" s="113" t="n"/>
      <c r="E271" s="81" t="n"/>
      <c r="F271" s="113" t="n"/>
    </row>
    <row r="272" ht="15" customHeight="1" s="62">
      <c r="A272" s="81" t="n"/>
      <c r="B272" s="113" t="n"/>
      <c r="C272" s="113" t="n"/>
      <c r="D272" s="113" t="n"/>
      <c r="E272" s="81" t="n"/>
      <c r="F272" s="113" t="n"/>
    </row>
    <row r="273" ht="15" customHeight="1" s="62">
      <c r="A273" s="81" t="n"/>
      <c r="B273" s="113" t="n"/>
      <c r="C273" s="113" t="n"/>
      <c r="D273" s="113" t="n"/>
      <c r="E273" s="81" t="n"/>
      <c r="F273" s="113" t="n"/>
    </row>
    <row r="274" ht="15" customHeight="1" s="62">
      <c r="A274" s="81" t="n"/>
      <c r="B274" s="113" t="n"/>
      <c r="C274" s="113" t="n"/>
      <c r="D274" s="113" t="n"/>
      <c r="E274" s="81" t="n"/>
      <c r="F274" s="113" t="n"/>
    </row>
    <row r="275" ht="15" customHeight="1" s="62">
      <c r="A275" s="81" t="n"/>
      <c r="B275" s="113" t="n"/>
      <c r="C275" s="113" t="n"/>
      <c r="D275" s="113" t="n"/>
      <c r="E275" s="81" t="n"/>
      <c r="F275" s="113" t="n"/>
    </row>
    <row r="276" ht="15" customHeight="1" s="62">
      <c r="A276" s="81" t="n"/>
      <c r="B276" s="113" t="n"/>
      <c r="C276" s="113" t="n"/>
      <c r="D276" s="113" t="n"/>
      <c r="E276" s="81" t="n"/>
      <c r="F276" s="113" t="n"/>
    </row>
    <row r="277" ht="15" customHeight="1" s="62">
      <c r="A277" s="81" t="n"/>
      <c r="B277" s="113" t="n"/>
      <c r="C277" s="113" t="n"/>
      <c r="D277" s="113" t="n"/>
      <c r="E277" s="81" t="n"/>
      <c r="F277" s="113" t="n"/>
    </row>
    <row r="278" ht="15" customHeight="1" s="62">
      <c r="A278" s="81" t="n"/>
      <c r="B278" s="113" t="n"/>
      <c r="C278" s="113" t="n"/>
      <c r="D278" s="113" t="n"/>
      <c r="E278" s="81" t="n"/>
      <c r="F278" s="113" t="n"/>
    </row>
    <row r="279" ht="15" customHeight="1" s="62">
      <c r="A279" s="81" t="n"/>
      <c r="B279" s="113" t="n"/>
      <c r="C279" s="113" t="n"/>
      <c r="D279" s="113" t="n"/>
      <c r="E279" s="81" t="n"/>
      <c r="F279" s="113" t="n"/>
    </row>
    <row r="280" ht="15" customHeight="1" s="62">
      <c r="A280" s="81" t="n"/>
      <c r="B280" s="113" t="n"/>
      <c r="C280" s="113" t="n"/>
      <c r="D280" s="113" t="n"/>
      <c r="E280" s="81" t="n"/>
      <c r="F280" s="113" t="n"/>
    </row>
    <row r="281" ht="15" customHeight="1" s="62">
      <c r="A281" s="81" t="n"/>
      <c r="B281" s="113" t="n"/>
      <c r="C281" s="113" t="n"/>
      <c r="D281" s="113" t="n"/>
      <c r="E281" s="81" t="n"/>
      <c r="F281" s="113" t="n"/>
    </row>
    <row r="282" ht="15" customHeight="1" s="62">
      <c r="A282" s="81" t="n"/>
      <c r="B282" s="113" t="n"/>
      <c r="C282" s="113" t="n"/>
      <c r="D282" s="113" t="n"/>
      <c r="E282" s="81" t="n"/>
      <c r="F282" s="113" t="n"/>
    </row>
    <row r="283" ht="15" customHeight="1" s="62">
      <c r="A283" s="81" t="n"/>
      <c r="B283" s="113" t="n"/>
      <c r="C283" s="113" t="n"/>
      <c r="D283" s="113" t="n"/>
      <c r="E283" s="81" t="n"/>
      <c r="F283" s="113" t="n"/>
    </row>
    <row r="284" ht="15" customHeight="1" s="62">
      <c r="A284" s="81" t="n"/>
      <c r="B284" s="113" t="n"/>
      <c r="C284" s="113" t="n"/>
      <c r="D284" s="113" t="n"/>
      <c r="E284" s="81" t="n"/>
      <c r="F284" s="113" t="n"/>
    </row>
    <row r="285" ht="15" customHeight="1" s="62">
      <c r="A285" s="81" t="n"/>
      <c r="B285" s="113" t="n"/>
      <c r="C285" s="113" t="n"/>
      <c r="D285" s="113" t="n"/>
      <c r="E285" s="81" t="n"/>
      <c r="F285" s="113" t="n"/>
    </row>
    <row r="286" ht="15" customHeight="1" s="62">
      <c r="A286" s="81" t="n"/>
      <c r="B286" s="113" t="n"/>
      <c r="C286" s="113" t="n"/>
      <c r="D286" s="113" t="n"/>
      <c r="E286" s="81" t="n"/>
      <c r="F286" s="113" t="n"/>
    </row>
    <row r="287" ht="15" customHeight="1" s="62">
      <c r="A287" s="81" t="n"/>
      <c r="B287" s="113" t="n"/>
      <c r="C287" s="113" t="n"/>
      <c r="D287" s="113" t="n"/>
      <c r="E287" s="81" t="n"/>
      <c r="F287" s="113" t="n"/>
    </row>
    <row r="288" ht="15" customHeight="1" s="62">
      <c r="A288" s="81" t="n"/>
      <c r="B288" s="113" t="n"/>
      <c r="C288" s="113" t="n"/>
      <c r="D288" s="113" t="n"/>
      <c r="E288" s="81" t="n"/>
      <c r="F288" s="113" t="n"/>
    </row>
    <row r="289" ht="15" customHeight="1" s="62">
      <c r="A289" s="81" t="n"/>
      <c r="B289" s="113" t="n"/>
      <c r="C289" s="113" t="n"/>
      <c r="D289" s="113" t="n"/>
      <c r="E289" s="81" t="n"/>
      <c r="F289" s="113" t="n"/>
    </row>
    <row r="290" ht="15" customHeight="1" s="62">
      <c r="A290" s="81" t="n"/>
      <c r="B290" s="113" t="n"/>
      <c r="C290" s="113" t="n"/>
      <c r="D290" s="113" t="n"/>
      <c r="E290" s="81" t="n"/>
      <c r="F290" s="113" t="n"/>
    </row>
    <row r="291" ht="15" customHeight="1" s="62">
      <c r="A291" s="81" t="n"/>
      <c r="B291" s="113" t="n"/>
      <c r="C291" s="113" t="n"/>
      <c r="D291" s="113" t="n"/>
      <c r="E291" s="81" t="n"/>
      <c r="F291" s="113" t="n"/>
    </row>
    <row r="292" ht="15" customHeight="1" s="62">
      <c r="A292" s="81" t="n"/>
      <c r="B292" s="113" t="n"/>
      <c r="C292" s="113" t="n"/>
      <c r="D292" s="113" t="n"/>
      <c r="E292" s="81" t="n"/>
      <c r="F292" s="113" t="n"/>
    </row>
    <row r="293" ht="15" customHeight="1" s="62">
      <c r="A293" s="81" t="n"/>
      <c r="B293" s="113" t="n"/>
      <c r="C293" s="113" t="n"/>
      <c r="D293" s="113" t="n"/>
      <c r="E293" s="81" t="n"/>
      <c r="F293" s="113" t="n"/>
    </row>
    <row r="294" ht="15" customHeight="1" s="62">
      <c r="A294" s="81" t="n"/>
      <c r="B294" s="113" t="n"/>
      <c r="C294" s="113" t="n"/>
      <c r="D294" s="113" t="n"/>
      <c r="E294" s="81" t="n"/>
      <c r="F294" s="113" t="n"/>
    </row>
    <row r="295" ht="15" customHeight="1" s="62">
      <c r="A295" s="81" t="n"/>
      <c r="B295" s="113" t="n"/>
      <c r="C295" s="113" t="n"/>
      <c r="D295" s="113" t="n"/>
      <c r="E295" s="81" t="n"/>
      <c r="F295" s="113" t="n"/>
    </row>
    <row r="296" ht="15" customHeight="1" s="62">
      <c r="A296" s="81" t="n"/>
      <c r="B296" s="113" t="n"/>
      <c r="C296" s="113" t="n"/>
      <c r="D296" s="113" t="n"/>
      <c r="E296" s="81" t="n"/>
      <c r="F296" s="113" t="n"/>
    </row>
    <row r="297" ht="15" customHeight="1" s="62">
      <c r="A297" s="81" t="n"/>
      <c r="B297" s="113" t="n"/>
      <c r="C297" s="113" t="n"/>
      <c r="D297" s="113" t="n"/>
      <c r="E297" s="81" t="n"/>
      <c r="F297" s="113" t="n"/>
    </row>
    <row r="298" ht="15" customHeight="1" s="62">
      <c r="A298" s="81" t="n"/>
      <c r="B298" s="113" t="n"/>
      <c r="C298" s="113" t="n"/>
      <c r="D298" s="113" t="n"/>
      <c r="E298" s="81" t="n"/>
      <c r="F298" s="113" t="n"/>
    </row>
    <row r="299" ht="15" customHeight="1" s="62">
      <c r="A299" s="81" t="n"/>
      <c r="B299" s="113" t="n"/>
      <c r="C299" s="113" t="n"/>
      <c r="D299" s="113" t="n"/>
      <c r="E299" s="81" t="n"/>
      <c r="F299" s="113" t="n"/>
    </row>
    <row r="300" ht="15" customHeight="1" s="62">
      <c r="A300" s="81" t="n"/>
      <c r="B300" s="113" t="n"/>
      <c r="C300" s="113" t="n"/>
      <c r="D300" s="113" t="n"/>
      <c r="E300" s="81" t="n"/>
      <c r="F300" s="113" t="n"/>
    </row>
    <row r="301" ht="15" customHeight="1" s="62">
      <c r="A301" s="81" t="n"/>
      <c r="B301" s="113" t="n"/>
      <c r="C301" s="113" t="n"/>
      <c r="D301" s="113" t="n"/>
      <c r="E301" s="81" t="n"/>
      <c r="F301" s="113" t="n"/>
    </row>
    <row r="302" ht="15" customHeight="1" s="62">
      <c r="A302" s="81" t="n"/>
      <c r="B302" s="113" t="n"/>
      <c r="C302" s="113" t="n"/>
      <c r="D302" s="113" t="n"/>
      <c r="E302" s="81" t="n"/>
      <c r="F302" s="113" t="n"/>
    </row>
    <row r="303" ht="15" customHeight="1" s="62">
      <c r="A303" s="81" t="n"/>
      <c r="B303" s="113" t="n"/>
      <c r="C303" s="113" t="n"/>
      <c r="D303" s="113" t="n"/>
      <c r="E303" s="81" t="n"/>
      <c r="F303" s="113" t="n"/>
    </row>
    <row r="304" ht="15" customHeight="1" s="62">
      <c r="A304" s="81" t="n"/>
      <c r="B304" s="113" t="n"/>
      <c r="C304" s="113" t="n"/>
      <c r="D304" s="113" t="n"/>
      <c r="E304" s="81" t="n"/>
      <c r="F304" s="113" t="n"/>
    </row>
    <row r="305" ht="15" customHeight="1" s="62">
      <c r="A305" s="81" t="n"/>
      <c r="B305" s="113" t="n"/>
      <c r="C305" s="113" t="n"/>
      <c r="D305" s="113" t="n"/>
      <c r="E305" s="81" t="n"/>
      <c r="F305" s="113" t="n"/>
    </row>
    <row r="306" ht="15" customHeight="1" s="62">
      <c r="A306" s="81" t="n"/>
      <c r="B306" s="113" t="n"/>
      <c r="C306" s="113" t="n"/>
      <c r="D306" s="113" t="n"/>
      <c r="E306" s="81" t="n"/>
      <c r="F306" s="113" t="n"/>
    </row>
    <row r="307" ht="15" customHeight="1" s="62">
      <c r="A307" s="81" t="n"/>
      <c r="B307" s="113" t="n"/>
      <c r="C307" s="113" t="n"/>
      <c r="D307" s="113" t="n"/>
      <c r="E307" s="81" t="n"/>
      <c r="F307" s="113" t="n"/>
    </row>
    <row r="308" ht="15" customHeight="1" s="62">
      <c r="A308" s="81" t="n"/>
      <c r="B308" s="113" t="n"/>
      <c r="C308" s="113" t="n"/>
      <c r="D308" s="113" t="n"/>
      <c r="E308" s="81" t="n"/>
      <c r="F308" s="113" t="n"/>
    </row>
    <row r="309" ht="15" customHeight="1" s="62">
      <c r="A309" s="81" t="n"/>
      <c r="B309" s="113" t="n"/>
      <c r="C309" s="113" t="n"/>
      <c r="D309" s="113" t="n"/>
      <c r="E309" s="81" t="n"/>
      <c r="F309" s="113" t="n"/>
    </row>
    <row r="310" ht="15" customHeight="1" s="62">
      <c r="A310" s="81" t="n"/>
      <c r="B310" s="113" t="n"/>
      <c r="C310" s="113" t="n"/>
      <c r="D310" s="113" t="n"/>
      <c r="E310" s="81" t="n"/>
      <c r="F310" s="113" t="n"/>
    </row>
    <row r="311" ht="15" customHeight="1" s="62">
      <c r="A311" s="81" t="n"/>
      <c r="B311" s="113" t="n"/>
      <c r="C311" s="113" t="n"/>
      <c r="D311" s="113" t="n"/>
      <c r="E311" s="81" t="n"/>
      <c r="F311" s="113" t="n"/>
    </row>
    <row r="312" ht="15" customHeight="1" s="62">
      <c r="A312" s="81" t="n"/>
      <c r="B312" s="113" t="n"/>
      <c r="C312" s="113" t="n"/>
      <c r="D312" s="113" t="n"/>
      <c r="E312" s="81" t="n"/>
      <c r="F312" s="113" t="n"/>
    </row>
    <row r="313" ht="15" customHeight="1" s="62">
      <c r="A313" s="81" t="n"/>
      <c r="B313" s="113" t="n"/>
      <c r="C313" s="113" t="n"/>
      <c r="D313" s="113" t="n"/>
      <c r="E313" s="81" t="n"/>
      <c r="F313" s="113" t="n"/>
    </row>
    <row r="314" ht="15" customHeight="1" s="62">
      <c r="A314" s="81" t="n"/>
      <c r="B314" s="113" t="n"/>
      <c r="C314" s="113" t="n"/>
      <c r="D314" s="113" t="n"/>
      <c r="E314" s="81" t="n"/>
      <c r="F314" s="113" t="n"/>
    </row>
    <row r="315" ht="15" customHeight="1" s="62">
      <c r="A315" s="81" t="n"/>
      <c r="B315" s="113" t="n"/>
      <c r="C315" s="113" t="n"/>
      <c r="D315" s="113" t="n"/>
      <c r="E315" s="81" t="n"/>
      <c r="F315" s="113" t="n"/>
    </row>
    <row r="316" ht="15" customHeight="1" s="62">
      <c r="A316" s="81" t="n"/>
      <c r="B316" s="113" t="n"/>
      <c r="C316" s="113" t="n"/>
      <c r="D316" s="113" t="n"/>
      <c r="E316" s="81" t="n"/>
      <c r="F316" s="113" t="n"/>
    </row>
    <row r="317" ht="15" customHeight="1" s="62">
      <c r="A317" s="81" t="n"/>
      <c r="B317" s="113" t="n"/>
      <c r="C317" s="113" t="n"/>
      <c r="D317" s="113" t="n"/>
      <c r="E317" s="81" t="n"/>
      <c r="F317" s="113" t="n"/>
    </row>
    <row r="318" ht="15" customHeight="1" s="62">
      <c r="A318" s="81" t="n"/>
      <c r="B318" s="113" t="n"/>
      <c r="C318" s="113" t="n"/>
      <c r="D318" s="113" t="n"/>
      <c r="E318" s="81" t="n"/>
      <c r="F318" s="113" t="n"/>
    </row>
    <row r="319" ht="15" customHeight="1" s="62">
      <c r="A319" s="81" t="n"/>
      <c r="B319" s="113" t="n"/>
      <c r="C319" s="113" t="n"/>
      <c r="D319" s="113" t="n"/>
      <c r="E319" s="81" t="n"/>
      <c r="F319" s="113" t="n"/>
    </row>
    <row r="320" ht="15" customHeight="1" s="62">
      <c r="A320" s="81" t="n"/>
      <c r="B320" s="113" t="n"/>
      <c r="C320" s="113" t="n"/>
      <c r="D320" s="113" t="n"/>
      <c r="E320" s="81" t="n"/>
      <c r="F320" s="113" t="n"/>
    </row>
    <row r="321" ht="15" customHeight="1" s="62">
      <c r="A321" s="81" t="n"/>
      <c r="B321" s="113" t="n"/>
      <c r="C321" s="113" t="n"/>
      <c r="D321" s="113" t="n"/>
      <c r="E321" s="81" t="n"/>
      <c r="F321" s="113" t="n"/>
    </row>
    <row r="322" ht="15" customHeight="1" s="62">
      <c r="A322" s="81" t="n"/>
      <c r="B322" s="113" t="n"/>
      <c r="C322" s="113" t="n"/>
      <c r="D322" s="113" t="n"/>
      <c r="E322" s="81" t="n"/>
      <c r="F322" s="113" t="n"/>
    </row>
    <row r="323" ht="15" customHeight="1" s="62">
      <c r="A323" s="81" t="n"/>
      <c r="B323" s="113" t="n"/>
      <c r="C323" s="113" t="n"/>
      <c r="D323" s="113" t="n"/>
      <c r="E323" s="81" t="n"/>
      <c r="F323" s="113" t="n"/>
    </row>
    <row r="324" ht="15" customHeight="1" s="62">
      <c r="A324" s="81" t="n"/>
      <c r="B324" s="113" t="n"/>
      <c r="C324" s="113" t="n"/>
      <c r="D324" s="113" t="n"/>
      <c r="E324" s="81" t="n"/>
      <c r="F324" s="113" t="n"/>
    </row>
    <row r="325" ht="15" customHeight="1" s="62">
      <c r="A325" s="81" t="n"/>
      <c r="B325" s="113" t="n"/>
      <c r="C325" s="113" t="n"/>
      <c r="D325" s="113" t="n"/>
      <c r="E325" s="81" t="n"/>
      <c r="F325" s="113" t="n"/>
    </row>
    <row r="326" ht="15" customHeight="1" s="62">
      <c r="A326" s="81" t="n"/>
      <c r="B326" s="113" t="n"/>
      <c r="C326" s="113" t="n"/>
      <c r="D326" s="113" t="n"/>
      <c r="E326" s="81" t="n"/>
      <c r="F326" s="113" t="n"/>
    </row>
    <row r="327" ht="15" customHeight="1" s="62">
      <c r="A327" s="81" t="n"/>
      <c r="B327" s="113" t="n"/>
      <c r="C327" s="113" t="n"/>
      <c r="D327" s="113" t="n"/>
      <c r="E327" s="81" t="n"/>
      <c r="F327" s="113" t="n"/>
    </row>
    <row r="328" ht="15" customHeight="1" s="62">
      <c r="A328" s="81" t="n"/>
      <c r="B328" s="113" t="n"/>
      <c r="C328" s="113" t="n"/>
      <c r="D328" s="113" t="n"/>
      <c r="E328" s="81" t="n"/>
      <c r="F328" s="113" t="n"/>
    </row>
    <row r="329" ht="15" customHeight="1" s="62">
      <c r="A329" s="81" t="n"/>
      <c r="B329" s="113" t="n"/>
      <c r="C329" s="113" t="n"/>
      <c r="D329" s="113" t="n"/>
      <c r="E329" s="81" t="n"/>
      <c r="F329" s="113" t="n"/>
    </row>
    <row r="330" ht="15" customHeight="1" s="62">
      <c r="A330" s="81" t="n"/>
      <c r="B330" s="113" t="n"/>
      <c r="C330" s="113" t="n"/>
      <c r="D330" s="113" t="n"/>
      <c r="E330" s="81" t="n"/>
      <c r="F330" s="113" t="n"/>
    </row>
    <row r="331" ht="15" customHeight="1" s="62">
      <c r="A331" s="81" t="n"/>
      <c r="B331" s="113" t="n"/>
      <c r="C331" s="113" t="n"/>
      <c r="D331" s="113" t="n"/>
      <c r="E331" s="81" t="n"/>
      <c r="F331" s="113" t="n"/>
    </row>
    <row r="332" ht="15" customHeight="1" s="62">
      <c r="A332" s="81" t="n"/>
      <c r="B332" s="113" t="n"/>
      <c r="C332" s="113" t="n"/>
      <c r="D332" s="113" t="n"/>
      <c r="E332" s="81" t="n"/>
      <c r="F332" s="113" t="n"/>
    </row>
    <row r="333" ht="15" customHeight="1" s="62">
      <c r="A333" s="81" t="n"/>
      <c r="B333" s="113" t="n"/>
      <c r="C333" s="113" t="n"/>
      <c r="D333" s="113" t="n"/>
      <c r="E333" s="81" t="n"/>
      <c r="F333" s="113" t="n"/>
    </row>
    <row r="334" ht="15" customHeight="1" s="62">
      <c r="A334" s="81" t="n"/>
      <c r="B334" s="113" t="n"/>
      <c r="C334" s="113" t="n"/>
      <c r="D334" s="113" t="n"/>
      <c r="E334" s="81" t="n"/>
      <c r="F334" s="113" t="n"/>
    </row>
    <row r="335" ht="15" customHeight="1" s="62">
      <c r="A335" s="81" t="n"/>
      <c r="B335" s="113" t="n"/>
      <c r="C335" s="113" t="n"/>
      <c r="D335" s="113" t="n"/>
      <c r="E335" s="81" t="n"/>
      <c r="F335" s="113" t="n"/>
    </row>
    <row r="336" ht="15" customHeight="1" s="62">
      <c r="A336" s="81" t="n"/>
      <c r="B336" s="113" t="n"/>
      <c r="C336" s="113" t="n"/>
      <c r="D336" s="113" t="n"/>
      <c r="E336" s="81" t="n"/>
      <c r="F336" s="113" t="n"/>
    </row>
    <row r="337" ht="15" customHeight="1" s="62">
      <c r="A337" s="81" t="n"/>
      <c r="B337" s="113" t="n"/>
      <c r="C337" s="113" t="n"/>
      <c r="D337" s="113" t="n"/>
      <c r="E337" s="81" t="n"/>
      <c r="F337" s="113" t="n"/>
    </row>
    <row r="338" ht="15" customHeight="1" s="62">
      <c r="A338" s="81" t="n"/>
      <c r="B338" s="113" t="n"/>
      <c r="C338" s="113" t="n"/>
      <c r="D338" s="113" t="n"/>
      <c r="E338" s="81" t="n"/>
      <c r="F338" s="113" t="n"/>
    </row>
    <row r="339" ht="15" customHeight="1" s="62">
      <c r="A339" s="81" t="n"/>
      <c r="B339" s="113" t="n"/>
      <c r="C339" s="113" t="n"/>
      <c r="D339" s="113" t="n"/>
      <c r="E339" s="81" t="n"/>
      <c r="F339" s="113" t="n"/>
    </row>
    <row r="340" ht="15" customHeight="1" s="62">
      <c r="A340" s="81" t="n"/>
      <c r="B340" s="113" t="n"/>
      <c r="C340" s="113" t="n"/>
      <c r="D340" s="113" t="n"/>
      <c r="E340" s="81" t="n"/>
      <c r="F340" s="113" t="n"/>
    </row>
    <row r="341" ht="15" customHeight="1" s="62">
      <c r="A341" s="81" t="n"/>
      <c r="B341" s="113" t="n"/>
      <c r="C341" s="113" t="n"/>
      <c r="D341" s="113" t="n"/>
      <c r="E341" s="81" t="n"/>
      <c r="F341" s="113" t="n"/>
    </row>
    <row r="342" ht="15" customHeight="1" s="62">
      <c r="A342" s="81" t="n"/>
      <c r="B342" s="113" t="n"/>
      <c r="C342" s="113" t="n"/>
      <c r="D342" s="113" t="n"/>
      <c r="E342" s="81" t="n"/>
      <c r="F342" s="113" t="n"/>
    </row>
    <row r="343" ht="15" customHeight="1" s="62">
      <c r="A343" s="81" t="n"/>
      <c r="B343" s="113" t="n"/>
      <c r="C343" s="113" t="n"/>
      <c r="D343" s="113" t="n"/>
      <c r="E343" s="81" t="n"/>
      <c r="F343" s="113" t="n"/>
    </row>
    <row r="344" ht="15" customHeight="1" s="62">
      <c r="A344" s="81" t="n"/>
      <c r="B344" s="113" t="n"/>
      <c r="C344" s="113" t="n"/>
      <c r="D344" s="113" t="n"/>
      <c r="E344" s="81" t="n"/>
      <c r="F344" s="113" t="n"/>
    </row>
    <row r="345" ht="15" customHeight="1" s="62">
      <c r="A345" s="81" t="n"/>
      <c r="B345" s="113" t="n"/>
      <c r="C345" s="113" t="n"/>
      <c r="D345" s="113" t="n"/>
      <c r="E345" s="81" t="n"/>
      <c r="F345" s="113" t="n"/>
    </row>
    <row r="346" ht="15" customHeight="1" s="62">
      <c r="A346" s="81" t="n"/>
      <c r="B346" s="113" t="n"/>
      <c r="C346" s="113" t="n"/>
      <c r="D346" s="113" t="n"/>
      <c r="E346" s="81" t="n"/>
      <c r="F346" s="113" t="n"/>
    </row>
    <row r="347" ht="15" customHeight="1" s="62">
      <c r="A347" s="81" t="n"/>
      <c r="B347" s="113" t="n"/>
      <c r="C347" s="113" t="n"/>
      <c r="D347" s="113" t="n"/>
      <c r="E347" s="81" t="n"/>
      <c r="F347" s="113" t="n"/>
    </row>
    <row r="348" ht="15" customHeight="1" s="62">
      <c r="A348" s="81" t="n"/>
      <c r="B348" s="113" t="n"/>
      <c r="C348" s="113" t="n"/>
      <c r="D348" s="113" t="n"/>
      <c r="E348" s="81" t="n"/>
      <c r="F348" s="113" t="n"/>
    </row>
    <row r="349" ht="15" customHeight="1" s="62">
      <c r="A349" s="81" t="n"/>
      <c r="B349" s="113" t="n"/>
      <c r="C349" s="113" t="n"/>
      <c r="D349" s="113" t="n"/>
      <c r="E349" s="81" t="n"/>
      <c r="F349" s="113" t="n"/>
    </row>
    <row r="350" ht="15" customHeight="1" s="62">
      <c r="A350" s="81" t="n"/>
      <c r="B350" s="113" t="n"/>
      <c r="C350" s="113" t="n"/>
      <c r="D350" s="113" t="n"/>
      <c r="E350" s="81" t="n"/>
      <c r="F350" s="113" t="n"/>
    </row>
    <row r="351" ht="15" customHeight="1" s="62">
      <c r="A351" s="81" t="n"/>
      <c r="B351" s="113" t="n"/>
      <c r="C351" s="113" t="n"/>
      <c r="D351" s="113" t="n"/>
      <c r="E351" s="81" t="n"/>
      <c r="F351" s="113" t="n"/>
    </row>
    <row r="352" ht="15" customHeight="1" s="62">
      <c r="A352" s="81" t="n"/>
      <c r="B352" s="113" t="n"/>
      <c r="C352" s="113" t="n"/>
      <c r="D352" s="113" t="n"/>
      <c r="E352" s="81" t="n"/>
      <c r="F352" s="113" t="n"/>
    </row>
    <row r="353" ht="15" customHeight="1" s="62">
      <c r="A353" s="81" t="n"/>
      <c r="B353" s="113" t="n"/>
      <c r="C353" s="113" t="n"/>
      <c r="D353" s="113" t="n"/>
      <c r="E353" s="81" t="n"/>
      <c r="F353" s="113" t="n"/>
    </row>
    <row r="354" ht="15" customHeight="1" s="62">
      <c r="A354" s="81" t="n"/>
      <c r="B354" s="113" t="n"/>
      <c r="C354" s="113" t="n"/>
      <c r="D354" s="113" t="n"/>
      <c r="E354" s="81" t="n"/>
      <c r="F354" s="113" t="n"/>
    </row>
    <row r="355" ht="15" customHeight="1" s="62">
      <c r="A355" s="81" t="n"/>
      <c r="B355" s="113" t="n"/>
      <c r="C355" s="113" t="n"/>
      <c r="D355" s="113" t="n"/>
      <c r="E355" s="81" t="n"/>
      <c r="F355" s="113" t="n"/>
    </row>
    <row r="356" ht="15" customHeight="1" s="62">
      <c r="A356" s="81" t="n"/>
      <c r="B356" s="113" t="n"/>
      <c r="C356" s="113" t="n"/>
      <c r="D356" s="113" t="n"/>
      <c r="E356" s="81" t="n"/>
      <c r="F356" s="113" t="n"/>
    </row>
    <row r="357" ht="15" customHeight="1" s="62">
      <c r="A357" s="81" t="n"/>
      <c r="B357" s="113" t="n"/>
      <c r="C357" s="113" t="n"/>
      <c r="D357" s="113" t="n"/>
      <c r="E357" s="81" t="n"/>
      <c r="F357" s="113" t="n"/>
    </row>
    <row r="358" ht="15" customHeight="1" s="62">
      <c r="A358" s="81" t="n"/>
      <c r="B358" s="113" t="n"/>
      <c r="C358" s="113" t="n"/>
      <c r="D358" s="113" t="n"/>
      <c r="E358" s="81" t="n"/>
      <c r="F358" s="113" t="n"/>
    </row>
    <row r="359" ht="15" customHeight="1" s="62">
      <c r="A359" s="81" t="n"/>
      <c r="B359" s="113" t="n"/>
      <c r="C359" s="113" t="n"/>
      <c r="D359" s="113" t="n"/>
      <c r="E359" s="81" t="n"/>
      <c r="F359" s="113" t="n"/>
    </row>
    <row r="360" ht="15" customHeight="1" s="62">
      <c r="A360" s="81" t="n"/>
      <c r="B360" s="113" t="n"/>
      <c r="C360" s="113" t="n"/>
      <c r="D360" s="113" t="n"/>
      <c r="E360" s="81" t="n"/>
      <c r="F360" s="113" t="n"/>
    </row>
    <row r="361" ht="15" customHeight="1" s="62">
      <c r="A361" s="81" t="n"/>
      <c r="B361" s="113" t="n"/>
      <c r="C361" s="113" t="n"/>
      <c r="D361" s="113" t="n"/>
      <c r="E361" s="81" t="n"/>
      <c r="F361" s="113" t="n"/>
    </row>
    <row r="362" ht="15" customHeight="1" s="62">
      <c r="A362" s="81" t="n"/>
      <c r="B362" s="113" t="n"/>
      <c r="C362" s="113" t="n"/>
      <c r="D362" s="113" t="n"/>
      <c r="E362" s="81" t="n"/>
      <c r="F362" s="113" t="n"/>
    </row>
    <row r="363" ht="15" customHeight="1" s="62">
      <c r="A363" s="81" t="n"/>
      <c r="B363" s="113" t="n"/>
      <c r="C363" s="113" t="n"/>
      <c r="D363" s="113" t="n"/>
      <c r="E363" s="81" t="n"/>
      <c r="F363" s="113" t="n"/>
    </row>
    <row r="364" ht="15" customHeight="1" s="62">
      <c r="A364" s="81" t="n"/>
      <c r="B364" s="113" t="n"/>
      <c r="C364" s="113" t="n"/>
      <c r="D364" s="113" t="n"/>
      <c r="E364" s="81" t="n"/>
      <c r="F364" s="113" t="n"/>
    </row>
    <row r="365" ht="15" customHeight="1" s="62">
      <c r="A365" s="81" t="n"/>
      <c r="B365" s="113" t="n"/>
      <c r="C365" s="113" t="n"/>
      <c r="D365" s="113" t="n"/>
      <c r="E365" s="81" t="n"/>
      <c r="F365" s="113" t="n"/>
    </row>
    <row r="366" ht="15" customHeight="1" s="62">
      <c r="A366" s="81" t="n"/>
      <c r="B366" s="113" t="n"/>
      <c r="C366" s="113" t="n"/>
      <c r="D366" s="113" t="n"/>
      <c r="E366" s="81" t="n"/>
      <c r="F366" s="113" t="n"/>
    </row>
    <row r="367" ht="15" customHeight="1" s="62">
      <c r="A367" s="81" t="n"/>
      <c r="B367" s="113" t="n"/>
      <c r="C367" s="113" t="n"/>
      <c r="D367" s="113" t="n"/>
      <c r="E367" s="81" t="n"/>
      <c r="F367" s="113" t="n"/>
    </row>
    <row r="368" ht="15" customHeight="1" s="62">
      <c r="A368" s="81" t="n"/>
      <c r="B368" s="113" t="n"/>
      <c r="C368" s="113" t="n"/>
      <c r="D368" s="113" t="n"/>
      <c r="E368" s="81" t="n"/>
      <c r="F368" s="113" t="n"/>
    </row>
    <row r="369" ht="15" customHeight="1" s="62">
      <c r="A369" s="81" t="n"/>
      <c r="B369" s="113" t="n"/>
      <c r="C369" s="113" t="n"/>
      <c r="D369" s="113" t="n"/>
      <c r="E369" s="81" t="n"/>
      <c r="F369" s="113" t="n"/>
    </row>
    <row r="370" ht="15" customHeight="1" s="62">
      <c r="A370" s="81" t="n"/>
      <c r="B370" s="113" t="n"/>
      <c r="C370" s="113" t="n"/>
      <c r="D370" s="113" t="n"/>
      <c r="E370" s="81" t="n"/>
      <c r="F370" s="113" t="n"/>
    </row>
    <row r="371" ht="15" customHeight="1" s="62">
      <c r="A371" s="81" t="n"/>
      <c r="B371" s="113" t="n"/>
      <c r="C371" s="113" t="n"/>
      <c r="D371" s="113" t="n"/>
      <c r="E371" s="81" t="n"/>
      <c r="F371" s="113" t="n"/>
    </row>
    <row r="372" ht="15" customHeight="1" s="62">
      <c r="A372" s="81" t="n"/>
      <c r="B372" s="113" t="n"/>
      <c r="C372" s="113" t="n"/>
      <c r="D372" s="113" t="n"/>
      <c r="E372" s="81" t="n"/>
      <c r="F372" s="113" t="n"/>
    </row>
    <row r="373" ht="15" customHeight="1" s="62">
      <c r="A373" s="81" t="n"/>
      <c r="B373" s="113" t="n"/>
      <c r="C373" s="113" t="n"/>
      <c r="D373" s="113" t="n"/>
      <c r="E373" s="81" t="n"/>
      <c r="F373" s="113" t="n"/>
    </row>
    <row r="374" ht="15" customHeight="1" s="62">
      <c r="A374" s="81" t="n"/>
      <c r="B374" s="113" t="n"/>
      <c r="C374" s="113" t="n"/>
      <c r="D374" s="113" t="n"/>
      <c r="E374" s="81" t="n"/>
      <c r="F374" s="113" t="n"/>
    </row>
    <row r="375" ht="15" customHeight="1" s="62">
      <c r="A375" s="81" t="n"/>
      <c r="B375" s="113" t="n"/>
      <c r="C375" s="113" t="n"/>
      <c r="D375" s="113" t="n"/>
      <c r="E375" s="81" t="n"/>
      <c r="F375" s="113" t="n"/>
    </row>
    <row r="376" ht="15" customHeight="1" s="62">
      <c r="A376" s="81" t="n"/>
      <c r="B376" s="113" t="n"/>
      <c r="C376" s="113" t="n"/>
      <c r="D376" s="113" t="n"/>
      <c r="E376" s="81" t="n"/>
      <c r="F376" s="113" t="n"/>
    </row>
    <row r="377" ht="15" customHeight="1" s="62">
      <c r="A377" s="81" t="n"/>
      <c r="B377" s="113" t="n"/>
      <c r="C377" s="113" t="n"/>
      <c r="D377" s="113" t="n"/>
      <c r="E377" s="81" t="n"/>
      <c r="F377" s="113" t="n"/>
    </row>
    <row r="378" ht="15" customHeight="1" s="62">
      <c r="A378" s="81" t="n"/>
      <c r="B378" s="113" t="n"/>
      <c r="C378" s="113" t="n"/>
      <c r="D378" s="113" t="n"/>
      <c r="E378" s="81" t="n"/>
      <c r="F378" s="113" t="n"/>
    </row>
    <row r="379" ht="15" customHeight="1" s="62">
      <c r="A379" s="81" t="n"/>
      <c r="B379" s="113" t="n"/>
      <c r="C379" s="113" t="n"/>
      <c r="D379" s="113" t="n"/>
      <c r="E379" s="81" t="n"/>
      <c r="F379" s="113" t="n"/>
    </row>
    <row r="380" ht="15" customHeight="1" s="62">
      <c r="A380" s="81" t="n"/>
      <c r="B380" s="113" t="n"/>
      <c r="C380" s="113" t="n"/>
      <c r="D380" s="113" t="n"/>
      <c r="E380" s="81" t="n"/>
      <c r="F380" s="113" t="n"/>
    </row>
    <row r="381" ht="15" customHeight="1" s="62">
      <c r="A381" s="81" t="n"/>
      <c r="B381" s="113" t="n"/>
      <c r="C381" s="113" t="n"/>
      <c r="D381" s="113" t="n"/>
      <c r="E381" s="81" t="n"/>
      <c r="F381" s="113" t="n"/>
    </row>
    <row r="382" ht="15" customHeight="1" s="62">
      <c r="A382" s="81" t="n"/>
      <c r="B382" s="113" t="n"/>
      <c r="C382" s="113" t="n"/>
      <c r="D382" s="113" t="n"/>
      <c r="E382" s="81" t="n"/>
      <c r="F382" s="113" t="n"/>
    </row>
    <row r="383" ht="15" customHeight="1" s="62">
      <c r="A383" s="81" t="n"/>
      <c r="B383" s="113" t="n"/>
      <c r="C383" s="113" t="n"/>
      <c r="D383" s="113" t="n"/>
      <c r="E383" s="81" t="n"/>
      <c r="F383" s="113" t="n"/>
    </row>
    <row r="384" ht="15" customHeight="1" s="62">
      <c r="A384" s="81" t="n"/>
      <c r="B384" s="113" t="n"/>
      <c r="C384" s="113" t="n"/>
      <c r="D384" s="113" t="n"/>
      <c r="E384" s="81" t="n"/>
      <c r="F384" s="113" t="n"/>
    </row>
    <row r="385" ht="15" customHeight="1" s="62">
      <c r="A385" s="81" t="n"/>
      <c r="B385" s="113" t="n"/>
      <c r="C385" s="113" t="n"/>
      <c r="D385" s="113" t="n"/>
      <c r="E385" s="81" t="n"/>
      <c r="F385" s="113" t="n"/>
    </row>
    <row r="386" ht="15" customHeight="1" s="62">
      <c r="A386" s="81" t="n"/>
      <c r="B386" s="113" t="n"/>
      <c r="C386" s="113" t="n"/>
      <c r="D386" s="113" t="n"/>
      <c r="E386" s="81" t="n"/>
      <c r="F386" s="113" t="n"/>
    </row>
    <row r="387" ht="15" customHeight="1" s="62">
      <c r="A387" s="81" t="n"/>
      <c r="B387" s="113" t="n"/>
      <c r="C387" s="113" t="n"/>
      <c r="D387" s="113" t="n"/>
      <c r="E387" s="81" t="n"/>
      <c r="F387" s="113" t="n"/>
    </row>
    <row r="388" ht="15" customHeight="1" s="62">
      <c r="A388" s="81" t="n"/>
      <c r="B388" s="113" t="n"/>
      <c r="C388" s="113" t="n"/>
      <c r="D388" s="113" t="n"/>
      <c r="E388" s="81" t="n"/>
      <c r="F388" s="113" t="n"/>
    </row>
    <row r="389" ht="15" customHeight="1" s="62">
      <c r="A389" s="81" t="n"/>
      <c r="B389" s="113" t="n"/>
      <c r="C389" s="113" t="n"/>
      <c r="D389" s="113" t="n"/>
      <c r="E389" s="81" t="n"/>
      <c r="F389" s="113" t="n"/>
    </row>
    <row r="390" ht="15" customHeight="1" s="62">
      <c r="A390" s="81" t="n"/>
      <c r="B390" s="113" t="n"/>
      <c r="C390" s="113" t="n"/>
      <c r="D390" s="113" t="n"/>
      <c r="E390" s="81" t="n"/>
      <c r="F390" s="113" t="n"/>
    </row>
    <row r="391" ht="15" customHeight="1" s="62">
      <c r="A391" s="81" t="n"/>
      <c r="B391" s="113" t="n"/>
      <c r="C391" s="113" t="n"/>
      <c r="D391" s="113" t="n"/>
      <c r="E391" s="81" t="n"/>
      <c r="F391" s="113" t="n"/>
    </row>
    <row r="392" ht="15" customHeight="1" s="62">
      <c r="A392" s="81" t="n"/>
      <c r="B392" s="113" t="n"/>
      <c r="C392" s="113" t="n"/>
      <c r="D392" s="113" t="n"/>
      <c r="E392" s="81" t="n"/>
      <c r="F392" s="113" t="n"/>
    </row>
    <row r="393" ht="15" customHeight="1" s="62">
      <c r="A393" s="81" t="n"/>
      <c r="B393" s="113" t="n"/>
      <c r="C393" s="113" t="n"/>
      <c r="D393" s="113" t="n"/>
      <c r="E393" s="81" t="n"/>
      <c r="F393" s="113" t="n"/>
    </row>
    <row r="394" ht="15" customHeight="1" s="62">
      <c r="A394" s="81" t="n"/>
      <c r="B394" s="113" t="n"/>
      <c r="C394" s="113" t="n"/>
      <c r="D394" s="113" t="n"/>
      <c r="E394" s="81" t="n"/>
      <c r="F394" s="113" t="n"/>
    </row>
    <row r="395" ht="15" customHeight="1" s="62">
      <c r="A395" s="81" t="n"/>
      <c r="B395" s="113" t="n"/>
      <c r="C395" s="113" t="n"/>
      <c r="D395" s="113" t="n"/>
      <c r="E395" s="81" t="n"/>
      <c r="F395" s="113" t="n"/>
    </row>
    <row r="396" ht="15" customHeight="1" s="62">
      <c r="A396" s="81" t="n"/>
      <c r="B396" s="113" t="n"/>
      <c r="C396" s="113" t="n"/>
      <c r="D396" s="113" t="n"/>
      <c r="E396" s="81" t="n"/>
      <c r="F396" s="113" t="n"/>
    </row>
    <row r="397" ht="15" customHeight="1" s="62">
      <c r="A397" s="81" t="n"/>
      <c r="B397" s="113" t="n"/>
      <c r="C397" s="113" t="n"/>
      <c r="D397" s="113" t="n"/>
      <c r="E397" s="81" t="n"/>
      <c r="F397" s="113" t="n"/>
    </row>
    <row r="398" ht="15" customHeight="1" s="62">
      <c r="A398" s="81" t="n"/>
      <c r="B398" s="113" t="n"/>
      <c r="C398" s="113" t="n"/>
      <c r="D398" s="113" t="n"/>
      <c r="E398" s="81" t="n"/>
      <c r="F398" s="113" t="n"/>
    </row>
    <row r="399" ht="15" customHeight="1" s="62">
      <c r="A399" s="81" t="n"/>
      <c r="B399" s="113" t="n"/>
      <c r="C399" s="113" t="n"/>
      <c r="D399" s="113" t="n"/>
      <c r="E399" s="81" t="n"/>
      <c r="F399" s="113" t="n"/>
    </row>
    <row r="400" ht="15" customHeight="1" s="62">
      <c r="A400" s="81" t="n"/>
      <c r="B400" s="113" t="n"/>
      <c r="C400" s="113" t="n"/>
      <c r="D400" s="113" t="n"/>
      <c r="E400" s="81" t="n"/>
      <c r="F400" s="113" t="n"/>
    </row>
    <row r="401" ht="15" customHeight="1" s="62">
      <c r="A401" s="81" t="n"/>
      <c r="B401" s="113" t="n"/>
      <c r="C401" s="113" t="n"/>
      <c r="D401" s="113" t="n"/>
      <c r="E401" s="81" t="n"/>
      <c r="F401" s="113" t="n"/>
    </row>
    <row r="402" ht="15" customHeight="1" s="62">
      <c r="A402" s="81" t="n"/>
      <c r="B402" s="113" t="n"/>
      <c r="C402" s="113" t="n"/>
      <c r="D402" s="113" t="n"/>
      <c r="E402" s="81" t="n"/>
      <c r="F402" s="113" t="n"/>
    </row>
    <row r="403" ht="15" customHeight="1" s="62">
      <c r="A403" s="81" t="n"/>
      <c r="B403" s="113" t="n"/>
      <c r="C403" s="113" t="n"/>
      <c r="D403" s="113" t="n"/>
      <c r="E403" s="81" t="n"/>
      <c r="F403" s="113" t="n"/>
    </row>
    <row r="404" ht="15" customHeight="1" s="62">
      <c r="A404" s="81" t="n"/>
      <c r="B404" s="113" t="n"/>
      <c r="C404" s="113" t="n"/>
      <c r="D404" s="113" t="n"/>
      <c r="E404" s="81" t="n"/>
      <c r="F404" s="113" t="n"/>
    </row>
    <row r="405" ht="15" customHeight="1" s="62">
      <c r="A405" s="81" t="n"/>
      <c r="B405" s="113" t="n"/>
      <c r="C405" s="113" t="n"/>
      <c r="D405" s="113" t="n"/>
      <c r="E405" s="81" t="n"/>
      <c r="F405" s="113" t="n"/>
    </row>
    <row r="406" ht="15" customHeight="1" s="62">
      <c r="A406" s="81" t="n"/>
      <c r="B406" s="113" t="n"/>
      <c r="C406" s="113" t="n"/>
      <c r="D406" s="113" t="n"/>
      <c r="E406" s="81" t="n"/>
      <c r="F406" s="113" t="n"/>
    </row>
    <row r="407" ht="15" customHeight="1" s="62">
      <c r="A407" s="81" t="n"/>
      <c r="B407" s="113" t="n"/>
      <c r="C407" s="113" t="n"/>
      <c r="D407" s="113" t="n"/>
      <c r="E407" s="81" t="n"/>
      <c r="F407" s="113" t="n"/>
    </row>
    <row r="408" ht="15" customHeight="1" s="62">
      <c r="A408" s="81" t="n"/>
      <c r="B408" s="113" t="n"/>
      <c r="C408" s="113" t="n"/>
      <c r="D408" s="113" t="n"/>
      <c r="E408" s="81" t="n"/>
      <c r="F408" s="113" t="n"/>
    </row>
    <row r="409" ht="15" customHeight="1" s="62">
      <c r="A409" s="81" t="n"/>
      <c r="B409" s="113" t="n"/>
      <c r="C409" s="113" t="n"/>
      <c r="D409" s="113" t="n"/>
      <c r="E409" s="81" t="n"/>
      <c r="F409" s="113" t="n"/>
    </row>
    <row r="410" ht="15" customHeight="1" s="62">
      <c r="A410" s="81" t="n"/>
      <c r="B410" s="113" t="n"/>
      <c r="C410" s="113" t="n"/>
      <c r="D410" s="113" t="n"/>
      <c r="E410" s="81" t="n"/>
      <c r="F410" s="113" t="n"/>
    </row>
    <row r="411" ht="15" customHeight="1" s="62">
      <c r="A411" s="81" t="n"/>
      <c r="B411" s="113" t="n"/>
      <c r="C411" s="113" t="n"/>
      <c r="D411" s="113" t="n"/>
      <c r="E411" s="81" t="n"/>
      <c r="F411" s="113" t="n"/>
    </row>
    <row r="412" ht="15" customHeight="1" s="62">
      <c r="A412" s="81" t="n"/>
      <c r="B412" s="113" t="n"/>
      <c r="C412" s="113" t="n"/>
      <c r="D412" s="113" t="n"/>
      <c r="E412" s="81" t="n"/>
      <c r="F412" s="113" t="n"/>
    </row>
    <row r="413" ht="15" customHeight="1" s="62">
      <c r="A413" s="81" t="n"/>
      <c r="B413" s="113" t="n"/>
      <c r="C413" s="113" t="n"/>
      <c r="D413" s="113" t="n"/>
      <c r="E413" s="81" t="n"/>
      <c r="F413" s="113" t="n"/>
    </row>
    <row r="414" ht="15" customHeight="1" s="62">
      <c r="A414" s="81" t="n"/>
      <c r="B414" s="113" t="n"/>
      <c r="C414" s="113" t="n"/>
      <c r="D414" s="113" t="n"/>
      <c r="E414" s="81" t="n"/>
      <c r="F414" s="113" t="n"/>
    </row>
    <row r="415" ht="15" customHeight="1" s="62">
      <c r="A415" s="81" t="n"/>
      <c r="B415" s="113" t="n"/>
      <c r="C415" s="113" t="n"/>
      <c r="D415" s="113" t="n"/>
      <c r="E415" s="81" t="n"/>
      <c r="F415" s="113" t="n"/>
    </row>
    <row r="416" ht="15" customHeight="1" s="62">
      <c r="A416" s="81" t="n"/>
      <c r="B416" s="113" t="n"/>
      <c r="C416" s="113" t="n"/>
      <c r="D416" s="113" t="n"/>
      <c r="E416" s="81" t="n"/>
      <c r="F416" s="113" t="n"/>
    </row>
    <row r="417" ht="15" customHeight="1" s="62">
      <c r="A417" s="81" t="n"/>
      <c r="B417" s="113" t="n"/>
      <c r="C417" s="113" t="n"/>
      <c r="D417" s="113" t="n"/>
      <c r="E417" s="81" t="n"/>
      <c r="F417" s="113" t="n"/>
    </row>
    <row r="418" ht="15" customHeight="1" s="62">
      <c r="A418" s="81" t="n"/>
      <c r="B418" s="113" t="n"/>
      <c r="C418" s="113" t="n"/>
      <c r="D418" s="113" t="n"/>
      <c r="E418" s="81" t="n"/>
      <c r="F418" s="113" t="n"/>
    </row>
    <row r="419" ht="15" customHeight="1" s="62">
      <c r="A419" s="81" t="n"/>
      <c r="B419" s="113" t="n"/>
      <c r="C419" s="113" t="n"/>
      <c r="D419" s="113" t="n"/>
      <c r="E419" s="81" t="n"/>
      <c r="F419" s="113" t="n"/>
    </row>
    <row r="420" ht="15" customHeight="1" s="62">
      <c r="A420" s="81" t="n"/>
      <c r="B420" s="113" t="n"/>
      <c r="C420" s="113" t="n"/>
      <c r="D420" s="113" t="n"/>
      <c r="E420" s="81" t="n"/>
      <c r="F420" s="113" t="n"/>
    </row>
    <row r="421" ht="15" customHeight="1" s="62">
      <c r="A421" s="81" t="n"/>
      <c r="B421" s="113" t="n"/>
      <c r="C421" s="113" t="n"/>
      <c r="D421" s="113" t="n"/>
      <c r="E421" s="81" t="n"/>
      <c r="F421" s="113" t="n"/>
    </row>
    <row r="422" ht="15" customHeight="1" s="62">
      <c r="A422" s="81" t="n"/>
      <c r="B422" s="113" t="n"/>
      <c r="C422" s="113" t="n"/>
      <c r="D422" s="113" t="n"/>
      <c r="E422" s="81" t="n"/>
      <c r="F422" s="113" t="n"/>
    </row>
    <row r="423" ht="15" customHeight="1" s="62">
      <c r="A423" s="81" t="n"/>
      <c r="B423" s="113" t="n"/>
      <c r="C423" s="113" t="n"/>
      <c r="D423" s="113" t="n"/>
      <c r="E423" s="81" t="n"/>
      <c r="F423" s="113" t="n"/>
    </row>
    <row r="424" ht="15" customHeight="1" s="62">
      <c r="A424" s="81" t="n"/>
      <c r="B424" s="113" t="n"/>
      <c r="C424" s="113" t="n"/>
      <c r="D424" s="113" t="n"/>
      <c r="E424" s="81" t="n"/>
      <c r="F424" s="113" t="n"/>
    </row>
    <row r="425" ht="15" customHeight="1" s="62">
      <c r="A425" s="81" t="n"/>
      <c r="B425" s="113" t="n"/>
      <c r="C425" s="113" t="n"/>
      <c r="D425" s="113" t="n"/>
      <c r="E425" s="81" t="n"/>
      <c r="F425" s="113" t="n"/>
    </row>
    <row r="426" ht="15" customHeight="1" s="62">
      <c r="A426" s="81" t="n"/>
      <c r="B426" s="113" t="n"/>
      <c r="C426" s="113" t="n"/>
      <c r="D426" s="113" t="n"/>
      <c r="E426" s="81" t="n"/>
      <c r="F426" s="113" t="n"/>
    </row>
    <row r="427" ht="15" customHeight="1" s="62">
      <c r="A427" s="81" t="n"/>
      <c r="B427" s="113" t="n"/>
      <c r="C427" s="113" t="n"/>
      <c r="D427" s="113" t="n"/>
      <c r="E427" s="81" t="n"/>
      <c r="F427" s="113" t="n"/>
    </row>
    <row r="428" ht="15" customHeight="1" s="62">
      <c r="A428" s="81" t="n"/>
      <c r="B428" s="113" t="n"/>
      <c r="C428" s="113" t="n"/>
      <c r="D428" s="113" t="n"/>
      <c r="E428" s="81" t="n"/>
      <c r="F428" s="113" t="n"/>
    </row>
    <row r="429" ht="15" customHeight="1" s="62">
      <c r="A429" s="81" t="n"/>
      <c r="B429" s="113" t="n"/>
      <c r="C429" s="113" t="n"/>
      <c r="D429" s="113" t="n"/>
      <c r="E429" s="81" t="n"/>
      <c r="F429" s="113" t="n"/>
    </row>
    <row r="430" ht="15" customHeight="1" s="62">
      <c r="A430" s="81" t="n"/>
      <c r="B430" s="113" t="n"/>
      <c r="C430" s="113" t="n"/>
      <c r="D430" s="113" t="n"/>
      <c r="E430" s="81" t="n"/>
      <c r="F430" s="113" t="n"/>
    </row>
    <row r="431" ht="15" customHeight="1" s="62">
      <c r="A431" s="81" t="n"/>
      <c r="B431" s="113" t="n"/>
      <c r="C431" s="113" t="n"/>
      <c r="D431" s="113" t="n"/>
      <c r="E431" s="81" t="n"/>
      <c r="F431" s="113" t="n"/>
    </row>
    <row r="432" ht="15" customHeight="1" s="62">
      <c r="A432" s="81" t="n"/>
      <c r="B432" s="113" t="n"/>
      <c r="C432" s="113" t="n"/>
      <c r="D432" s="113" t="n"/>
      <c r="E432" s="81" t="n"/>
      <c r="F432" s="113" t="n"/>
    </row>
    <row r="433" ht="15" customHeight="1" s="62">
      <c r="A433" s="81" t="n"/>
      <c r="B433" s="113" t="n"/>
      <c r="C433" s="113" t="n"/>
      <c r="D433" s="113" t="n"/>
      <c r="E433" s="81" t="n"/>
      <c r="F433" s="113" t="n"/>
    </row>
    <row r="434" ht="15" customHeight="1" s="62">
      <c r="A434" s="81" t="n"/>
      <c r="B434" s="113" t="n"/>
      <c r="C434" s="113" t="n"/>
      <c r="D434" s="113" t="n"/>
      <c r="E434" s="81" t="n"/>
      <c r="F434" s="113" t="n"/>
    </row>
    <row r="435" ht="15" customHeight="1" s="62">
      <c r="A435" s="81" t="n"/>
      <c r="B435" s="113" t="n"/>
      <c r="C435" s="113" t="n"/>
      <c r="D435" s="113" t="n"/>
      <c r="E435" s="81" t="n"/>
      <c r="F435" s="113" t="n"/>
    </row>
    <row r="436" ht="15" customHeight="1" s="62">
      <c r="A436" s="81" t="n"/>
      <c r="B436" s="113" t="n"/>
      <c r="C436" s="113" t="n"/>
      <c r="D436" s="113" t="n"/>
      <c r="E436" s="81" t="n"/>
      <c r="F436" s="113" t="n"/>
    </row>
    <row r="437" ht="15" customHeight="1" s="62">
      <c r="A437" s="81" t="n"/>
      <c r="B437" s="113" t="n"/>
      <c r="C437" s="113" t="n"/>
      <c r="D437" s="113" t="n"/>
      <c r="E437" s="81" t="n"/>
      <c r="F437" s="113" t="n"/>
    </row>
    <row r="438" ht="15" customHeight="1" s="62">
      <c r="A438" s="81" t="n"/>
      <c r="B438" s="113" t="n"/>
      <c r="C438" s="113" t="n"/>
      <c r="D438" s="113" t="n"/>
      <c r="E438" s="81" t="n"/>
      <c r="F438" s="113" t="n"/>
    </row>
    <row r="439" ht="15" customHeight="1" s="62">
      <c r="A439" s="81" t="n"/>
      <c r="B439" s="113" t="n"/>
      <c r="C439" s="113" t="n"/>
      <c r="D439" s="113" t="n"/>
      <c r="E439" s="81" t="n"/>
      <c r="F439" s="113" t="n"/>
    </row>
    <row r="440" ht="15" customHeight="1" s="62">
      <c r="A440" s="81" t="n"/>
      <c r="B440" s="113" t="n"/>
      <c r="C440" s="113" t="n"/>
      <c r="D440" s="113" t="n"/>
      <c r="E440" s="81" t="n"/>
      <c r="F440" s="113" t="n"/>
    </row>
    <row r="441" ht="15" customHeight="1" s="62">
      <c r="A441" s="81" t="n"/>
      <c r="B441" s="113" t="n"/>
      <c r="C441" s="113" t="n"/>
      <c r="D441" s="113" t="n"/>
      <c r="E441" s="81" t="n"/>
      <c r="F441" s="113" t="n"/>
    </row>
    <row r="442" ht="15" customHeight="1" s="62">
      <c r="A442" s="81" t="n"/>
      <c r="B442" s="113" t="n"/>
      <c r="C442" s="113" t="n"/>
      <c r="D442" s="113" t="n"/>
      <c r="E442" s="81" t="n"/>
      <c r="F442" s="113" t="n"/>
    </row>
    <row r="443" ht="15" customHeight="1" s="62">
      <c r="A443" s="81" t="n"/>
      <c r="B443" s="113" t="n"/>
      <c r="C443" s="113" t="n"/>
      <c r="D443" s="113" t="n"/>
      <c r="E443" s="81" t="n"/>
      <c r="F443" s="113" t="n"/>
    </row>
    <row r="444" ht="15" customHeight="1" s="62">
      <c r="A444" s="81" t="n"/>
      <c r="B444" s="113" t="n"/>
      <c r="C444" s="113" t="n"/>
      <c r="D444" s="113" t="n"/>
      <c r="E444" s="81" t="n"/>
      <c r="F444" s="113" t="n"/>
    </row>
    <row r="445" ht="15" customHeight="1" s="62">
      <c r="A445" s="81" t="n"/>
      <c r="B445" s="113" t="n"/>
      <c r="C445" s="113" t="n"/>
      <c r="D445" s="113" t="n"/>
      <c r="E445" s="81" t="n"/>
      <c r="F445" s="113" t="n"/>
    </row>
    <row r="446" ht="15" customHeight="1" s="62">
      <c r="A446" s="81" t="n"/>
      <c r="B446" s="113" t="n"/>
      <c r="C446" s="113" t="n"/>
      <c r="D446" s="113" t="n"/>
      <c r="E446" s="81" t="n"/>
      <c r="F446" s="113" t="n"/>
    </row>
    <row r="447" ht="15" customHeight="1" s="62">
      <c r="A447" s="81" t="n"/>
      <c r="B447" s="113" t="n"/>
      <c r="C447" s="113" t="n"/>
      <c r="D447" s="113" t="n"/>
      <c r="E447" s="81" t="n"/>
      <c r="F447" s="113" t="n"/>
    </row>
    <row r="448" ht="15" customHeight="1" s="62">
      <c r="A448" s="81" t="n"/>
      <c r="B448" s="113" t="n"/>
      <c r="C448" s="113" t="n"/>
      <c r="D448" s="113" t="n"/>
      <c r="E448" s="81" t="n"/>
      <c r="F448" s="113" t="n"/>
    </row>
    <row r="449" ht="15" customHeight="1" s="62">
      <c r="A449" s="81" t="n"/>
      <c r="B449" s="113" t="n"/>
      <c r="C449" s="113" t="n"/>
      <c r="D449" s="113" t="n"/>
      <c r="E449" s="81" t="n"/>
      <c r="F449" s="113" t="n"/>
    </row>
    <row r="450" ht="15" customHeight="1" s="62">
      <c r="A450" s="81" t="n"/>
      <c r="B450" s="113" t="n"/>
      <c r="C450" s="113" t="n"/>
      <c r="D450" s="113" t="n"/>
      <c r="E450" s="81" t="n"/>
      <c r="F450" s="113" t="n"/>
    </row>
    <row r="451" ht="15" customHeight="1" s="62">
      <c r="A451" s="81" t="n"/>
      <c r="B451" s="113" t="n"/>
      <c r="C451" s="113" t="n"/>
      <c r="D451" s="113" t="n"/>
      <c r="E451" s="81" t="n"/>
      <c r="F451" s="113" t="n"/>
    </row>
    <row r="452" ht="15" customHeight="1" s="62">
      <c r="A452" s="81" t="n"/>
      <c r="B452" s="113" t="n"/>
      <c r="C452" s="113" t="n"/>
      <c r="D452" s="113" t="n"/>
      <c r="E452" s="81" t="n"/>
      <c r="F452" s="113" t="n"/>
    </row>
    <row r="453" ht="15" customHeight="1" s="62">
      <c r="A453" s="81" t="n"/>
      <c r="B453" s="113" t="n"/>
      <c r="C453" s="113" t="n"/>
      <c r="D453" s="113" t="n"/>
      <c r="E453" s="81" t="n"/>
      <c r="F453" s="113" t="n"/>
    </row>
    <row r="454" ht="15" customHeight="1" s="62">
      <c r="A454" s="81" t="n"/>
      <c r="B454" s="113" t="n"/>
      <c r="C454" s="113" t="n"/>
      <c r="D454" s="113" t="n"/>
      <c r="E454" s="81" t="n"/>
      <c r="F454" s="113" t="n"/>
    </row>
    <row r="455" ht="15" customHeight="1" s="62">
      <c r="A455" s="81" t="n"/>
      <c r="B455" s="113" t="n"/>
      <c r="C455" s="113" t="n"/>
      <c r="D455" s="113" t="n"/>
      <c r="E455" s="81" t="n"/>
      <c r="F455" s="113" t="n"/>
    </row>
    <row r="456" ht="15" customHeight="1" s="62">
      <c r="A456" s="81" t="n"/>
      <c r="B456" s="113" t="n"/>
      <c r="C456" s="113" t="n"/>
      <c r="D456" s="113" t="n"/>
      <c r="E456" s="81" t="n"/>
      <c r="F456" s="113" t="n"/>
    </row>
    <row r="457" ht="15" customHeight="1" s="62">
      <c r="A457" s="81" t="n"/>
      <c r="B457" s="113" t="n"/>
      <c r="C457" s="113" t="n"/>
      <c r="D457" s="113" t="n"/>
      <c r="E457" s="81" t="n"/>
      <c r="F457" s="113" t="n"/>
    </row>
    <row r="458" ht="15" customHeight="1" s="62">
      <c r="A458" s="81" t="n"/>
      <c r="B458" s="113" t="n"/>
      <c r="C458" s="113" t="n"/>
      <c r="D458" s="113" t="n"/>
      <c r="E458" s="81" t="n"/>
      <c r="F458" s="113" t="n"/>
    </row>
    <row r="459" ht="15" customHeight="1" s="62">
      <c r="A459" s="81" t="n"/>
      <c r="B459" s="113" t="n"/>
      <c r="C459" s="113" t="n"/>
      <c r="D459" s="113" t="n"/>
      <c r="E459" s="81" t="n"/>
      <c r="F459" s="113" t="n"/>
    </row>
    <row r="460" ht="15" customHeight="1" s="62">
      <c r="A460" s="81" t="n"/>
      <c r="B460" s="113" t="n"/>
      <c r="C460" s="113" t="n"/>
      <c r="D460" s="113" t="n"/>
      <c r="E460" s="81" t="n"/>
      <c r="F460" s="113" t="n"/>
    </row>
    <row r="461" ht="15" customHeight="1" s="62">
      <c r="A461" s="81" t="n"/>
      <c r="B461" s="113" t="n"/>
      <c r="C461" s="113" t="n"/>
      <c r="D461" s="113" t="n"/>
      <c r="E461" s="81" t="n"/>
      <c r="F461" s="113" t="n"/>
    </row>
    <row r="462" ht="15" customHeight="1" s="62">
      <c r="A462" s="81" t="n"/>
      <c r="B462" s="113" t="n"/>
      <c r="C462" s="113" t="n"/>
      <c r="D462" s="113" t="n"/>
      <c r="E462" s="81" t="n"/>
      <c r="F462" s="113" t="n"/>
    </row>
    <row r="463" ht="15" customHeight="1" s="62">
      <c r="A463" s="81" t="n"/>
      <c r="B463" s="113" t="n"/>
      <c r="C463" s="113" t="n"/>
      <c r="D463" s="113" t="n"/>
      <c r="E463" s="81" t="n"/>
      <c r="F463" s="113" t="n"/>
    </row>
    <row r="464" ht="15" customHeight="1" s="62">
      <c r="A464" s="81" t="n"/>
      <c r="B464" s="113" t="n"/>
      <c r="C464" s="113" t="n"/>
      <c r="D464" s="113" t="n"/>
      <c r="E464" s="81" t="n"/>
      <c r="F464" s="113" t="n"/>
    </row>
    <row r="465" ht="15" customHeight="1" s="62">
      <c r="A465" s="81" t="n"/>
      <c r="B465" s="113" t="n"/>
      <c r="C465" s="113" t="n"/>
      <c r="D465" s="113" t="n"/>
      <c r="E465" s="81" t="n"/>
      <c r="F465" s="113" t="n"/>
    </row>
    <row r="466" ht="15" customHeight="1" s="62">
      <c r="A466" s="81" t="n"/>
      <c r="B466" s="113" t="n"/>
      <c r="C466" s="113" t="n"/>
      <c r="D466" s="113" t="n"/>
      <c r="E466" s="81" t="n"/>
      <c r="F466" s="113" t="n"/>
    </row>
    <row r="467" ht="15" customHeight="1" s="62">
      <c r="A467" s="81" t="n"/>
      <c r="B467" s="113" t="n"/>
      <c r="C467" s="113" t="n"/>
      <c r="D467" s="113" t="n"/>
      <c r="E467" s="81" t="n"/>
      <c r="F467" s="113" t="n"/>
    </row>
    <row r="468" ht="15" customHeight="1" s="62">
      <c r="A468" s="81" t="n"/>
      <c r="B468" s="113" t="n"/>
      <c r="C468" s="113" t="n"/>
      <c r="D468" s="113" t="n"/>
      <c r="E468" s="81" t="n"/>
      <c r="F468" s="113" t="n"/>
    </row>
    <row r="469" ht="15" customHeight="1" s="62">
      <c r="A469" s="81" t="n"/>
      <c r="B469" s="113" t="n"/>
      <c r="C469" s="113" t="n"/>
      <c r="D469" s="113" t="n"/>
      <c r="E469" s="81" t="n"/>
      <c r="F469" s="113" t="n"/>
    </row>
    <row r="470" ht="15" customHeight="1" s="62">
      <c r="A470" s="81" t="n"/>
      <c r="B470" s="113" t="n"/>
      <c r="C470" s="113" t="n"/>
      <c r="D470" s="113" t="n"/>
      <c r="E470" s="81" t="n"/>
      <c r="F470" s="113" t="n"/>
    </row>
    <row r="471" ht="15" customHeight="1" s="62">
      <c r="A471" s="81" t="n"/>
      <c r="B471" s="113" t="n"/>
      <c r="C471" s="113" t="n"/>
      <c r="D471" s="113" t="n"/>
      <c r="E471" s="81" t="n"/>
      <c r="F471" s="113" t="n"/>
    </row>
    <row r="472" ht="15" customHeight="1" s="62">
      <c r="A472" s="81" t="n"/>
      <c r="B472" s="113" t="n"/>
      <c r="C472" s="113" t="n"/>
      <c r="D472" s="113" t="n"/>
      <c r="E472" s="81" t="n"/>
      <c r="F472" s="113" t="n"/>
    </row>
    <row r="473" ht="15" customHeight="1" s="62">
      <c r="A473" s="81" t="n"/>
      <c r="B473" s="113" t="n"/>
      <c r="C473" s="113" t="n"/>
      <c r="D473" s="113" t="n"/>
      <c r="E473" s="81" t="n"/>
      <c r="F473" s="113" t="n"/>
    </row>
    <row r="474" ht="15" customHeight="1" s="62">
      <c r="A474" s="81" t="n"/>
      <c r="B474" s="113" t="n"/>
      <c r="C474" s="113" t="n"/>
      <c r="D474" s="113" t="n"/>
      <c r="E474" s="81" t="n"/>
      <c r="F474" s="113" t="n"/>
    </row>
    <row r="475" ht="15" customHeight="1" s="62">
      <c r="A475" s="81" t="n"/>
      <c r="B475" s="113" t="n"/>
      <c r="C475" s="113" t="n"/>
      <c r="D475" s="113" t="n"/>
      <c r="E475" s="81" t="n"/>
      <c r="F475" s="113" t="n"/>
    </row>
    <row r="476" ht="15" customHeight="1" s="62">
      <c r="A476" s="81" t="n"/>
      <c r="B476" s="113" t="n"/>
      <c r="C476" s="113" t="n"/>
      <c r="D476" s="113" t="n"/>
      <c r="E476" s="81" t="n"/>
      <c r="F476" s="113" t="n"/>
    </row>
    <row r="477" ht="15" customHeight="1" s="62">
      <c r="A477" s="81" t="n"/>
      <c r="B477" s="113" t="n"/>
      <c r="C477" s="113" t="n"/>
      <c r="D477" s="113" t="n"/>
      <c r="E477" s="81" t="n"/>
      <c r="F477" s="113" t="n"/>
    </row>
    <row r="478" ht="15" customHeight="1" s="62">
      <c r="A478" s="81" t="n"/>
      <c r="B478" s="113" t="n"/>
      <c r="C478" s="113" t="n"/>
      <c r="D478" s="113" t="n"/>
      <c r="E478" s="81" t="n"/>
      <c r="F478" s="113" t="n"/>
    </row>
    <row r="479" ht="15" customHeight="1" s="62">
      <c r="A479" s="81" t="n"/>
      <c r="B479" s="113" t="n"/>
      <c r="C479" s="113" t="n"/>
      <c r="D479" s="113" t="n"/>
      <c r="E479" s="81" t="n"/>
      <c r="F479" s="113" t="n"/>
    </row>
    <row r="480" ht="15" customHeight="1" s="62">
      <c r="A480" s="81" t="n"/>
      <c r="B480" s="113" t="n"/>
      <c r="C480" s="113" t="n"/>
      <c r="D480" s="113" t="n"/>
      <c r="E480" s="81" t="n"/>
      <c r="F480" s="113" t="n"/>
    </row>
    <row r="481" ht="15" customHeight="1" s="62">
      <c r="A481" s="81" t="n"/>
      <c r="B481" s="113" t="n"/>
      <c r="C481" s="113" t="n"/>
      <c r="D481" s="113" t="n"/>
      <c r="E481" s="81" t="n"/>
      <c r="F481" s="113" t="n"/>
    </row>
    <row r="482" ht="15" customHeight="1" s="62">
      <c r="A482" s="81" t="n"/>
      <c r="B482" s="113" t="n"/>
      <c r="C482" s="113" t="n"/>
      <c r="D482" s="113" t="n"/>
      <c r="E482" s="81" t="n"/>
      <c r="F482" s="113" t="n"/>
    </row>
    <row r="483" ht="15" customHeight="1" s="62">
      <c r="A483" s="81" t="n"/>
      <c r="B483" s="113" t="n"/>
      <c r="C483" s="113" t="n"/>
      <c r="D483" s="113" t="n"/>
      <c r="E483" s="81" t="n"/>
      <c r="F483" s="113" t="n"/>
    </row>
    <row r="484" ht="15" customHeight="1" s="62">
      <c r="A484" s="81" t="n"/>
      <c r="B484" s="113" t="n"/>
      <c r="C484" s="113" t="n"/>
      <c r="D484" s="113" t="n"/>
      <c r="E484" s="81" t="n"/>
      <c r="F484" s="113" t="n"/>
    </row>
    <row r="485" ht="15" customHeight="1" s="62">
      <c r="A485" s="81" t="n"/>
      <c r="B485" s="113" t="n"/>
      <c r="C485" s="113" t="n"/>
      <c r="D485" s="113" t="n"/>
      <c r="E485" s="81" t="n"/>
      <c r="F485" s="113" t="n"/>
    </row>
    <row r="486" ht="15" customHeight="1" s="62">
      <c r="A486" s="81" t="n"/>
      <c r="B486" s="113" t="n"/>
      <c r="C486" s="113" t="n"/>
      <c r="D486" s="113" t="n"/>
      <c r="E486" s="81" t="n"/>
      <c r="F486" s="113" t="n"/>
    </row>
    <row r="487" ht="15" customHeight="1" s="62">
      <c r="A487" s="81" t="n"/>
      <c r="B487" s="113" t="n"/>
      <c r="C487" s="113" t="n"/>
      <c r="D487" s="113" t="n"/>
      <c r="E487" s="81" t="n"/>
      <c r="F487" s="113" t="n"/>
    </row>
    <row r="488" ht="15" customHeight="1" s="62">
      <c r="A488" s="81" t="n"/>
      <c r="B488" s="113" t="n"/>
      <c r="C488" s="113" t="n"/>
      <c r="D488" s="113" t="n"/>
      <c r="E488" s="81" t="n"/>
      <c r="F488" s="113" t="n"/>
    </row>
    <row r="489" ht="15" customHeight="1" s="62">
      <c r="A489" s="81" t="n"/>
      <c r="B489" s="113" t="n"/>
      <c r="C489" s="113" t="n"/>
      <c r="D489" s="113" t="n"/>
      <c r="E489" s="81" t="n"/>
      <c r="F489" s="113" t="n"/>
    </row>
    <row r="490" ht="15" customHeight="1" s="62">
      <c r="A490" s="81" t="n"/>
      <c r="B490" s="113" t="n"/>
      <c r="C490" s="113" t="n"/>
      <c r="D490" s="113" t="n"/>
      <c r="E490" s="81" t="n"/>
      <c r="F490" s="113" t="n"/>
    </row>
    <row r="491" ht="15" customHeight="1" s="62">
      <c r="A491" s="81" t="n"/>
      <c r="B491" s="113" t="n"/>
      <c r="C491" s="113" t="n"/>
      <c r="D491" s="113" t="n"/>
      <c r="E491" s="81" t="n"/>
      <c r="F491" s="113" t="n"/>
    </row>
    <row r="492" ht="15" customHeight="1" s="62">
      <c r="A492" s="81" t="n"/>
      <c r="B492" s="113" t="n"/>
      <c r="C492" s="113" t="n"/>
      <c r="D492" s="113" t="n"/>
      <c r="E492" s="81" t="n"/>
      <c r="F492" s="113" t="n"/>
    </row>
    <row r="493" ht="15" customHeight="1" s="62">
      <c r="A493" s="81" t="n"/>
      <c r="B493" s="113" t="n"/>
      <c r="C493" s="113" t="n"/>
      <c r="D493" s="113" t="n"/>
      <c r="E493" s="81" t="n"/>
      <c r="F493" s="113" t="n"/>
    </row>
    <row r="494" ht="15" customHeight="1" s="62">
      <c r="A494" s="81" t="n"/>
      <c r="B494" s="113" t="n"/>
      <c r="C494" s="113" t="n"/>
      <c r="D494" s="113" t="n"/>
      <c r="E494" s="81" t="n"/>
      <c r="F494" s="113" t="n"/>
    </row>
    <row r="495" ht="15" customHeight="1" s="62">
      <c r="A495" s="81" t="n"/>
      <c r="B495" s="113" t="n"/>
      <c r="C495" s="113" t="n"/>
      <c r="D495" s="113" t="n"/>
      <c r="E495" s="81" t="n"/>
      <c r="F495" s="113" t="n"/>
    </row>
    <row r="496" ht="15" customHeight="1" s="62">
      <c r="A496" s="81" t="n"/>
      <c r="B496" s="113" t="n"/>
      <c r="C496" s="113" t="n"/>
      <c r="D496" s="113" t="n"/>
      <c r="E496" s="81" t="n"/>
      <c r="F496" s="113" t="n"/>
    </row>
    <row r="497" ht="15" customHeight="1" s="62">
      <c r="A497" s="81" t="n"/>
      <c r="B497" s="113" t="n"/>
      <c r="C497" s="113" t="n"/>
      <c r="D497" s="113" t="n"/>
      <c r="E497" s="81" t="n"/>
      <c r="F497" s="113" t="n"/>
    </row>
    <row r="498" ht="15" customHeight="1" s="62">
      <c r="A498" s="81" t="n"/>
      <c r="B498" s="113" t="n"/>
      <c r="C498" s="113" t="n"/>
      <c r="D498" s="113" t="n"/>
      <c r="E498" s="81" t="n"/>
      <c r="F498" s="113" t="n"/>
    </row>
    <row r="499" ht="15" customHeight="1" s="62">
      <c r="A499" s="81" t="n"/>
      <c r="B499" s="113" t="n"/>
      <c r="C499" s="113" t="n"/>
      <c r="D499" s="113" t="n"/>
      <c r="E499" s="81" t="n"/>
      <c r="F499" s="113" t="n"/>
    </row>
    <row r="500" ht="15" customHeight="1" s="62">
      <c r="A500" s="81" t="n"/>
      <c r="B500" s="113" t="n"/>
      <c r="C500" s="113" t="n"/>
      <c r="D500" s="113" t="n"/>
      <c r="E500" s="81" t="n"/>
      <c r="F500" s="113" t="n"/>
    </row>
    <row r="501" ht="15" customHeight="1" s="62">
      <c r="A501" s="81" t="n"/>
      <c r="B501" s="113" t="n"/>
      <c r="C501" s="113" t="n"/>
      <c r="D501" s="113" t="n"/>
      <c r="E501" s="81" t="n"/>
      <c r="F501" s="113" t="n"/>
    </row>
    <row r="502" ht="15" customHeight="1" s="62">
      <c r="A502" s="81" t="n"/>
      <c r="B502" s="113" t="n"/>
      <c r="C502" s="113" t="n"/>
      <c r="D502" s="113" t="n"/>
      <c r="E502" s="81" t="n"/>
      <c r="F502" s="113" t="n"/>
    </row>
    <row r="503" ht="15" customHeight="1" s="62">
      <c r="A503" s="81" t="n"/>
      <c r="B503" s="113" t="n"/>
      <c r="C503" s="113" t="n"/>
      <c r="D503" s="113" t="n"/>
      <c r="E503" s="81" t="n"/>
      <c r="F503" s="113" t="n"/>
    </row>
  </sheetData>
  <mergeCells count="1">
    <mergeCell ref="A1:F1"/>
  </mergeCells>
  <dataValidations count="1">
    <dataValidation sqref="A4:A503" showDropDown="0" showInputMessage="0" showErrorMessage="1" allowBlank="1" error="Use an id from the Sites tab." type="list" errorStyle="stop" operator="between">
      <formula1>Sites!$A$4:$A$503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style="62" min="1" max="1"/>
    <col width="30" customWidth="1" style="62" min="2" max="2"/>
    <col width="46" customWidth="1" style="62" min="3" max="3"/>
    <col width="36" customWidth="1" style="62" min="4" max="4"/>
    <col width="14" customWidth="1" style="62" min="5" max="5"/>
    <col width="40" customWidth="1" style="62" min="6" max="6"/>
    <col width="60" customWidth="1" style="62" min="7" max="7"/>
  </cols>
  <sheetData>
    <row r="1">
      <c r="A1" s="117" t="inlineStr">
        <is>
          <t>PHOTOS: one row per photo. Image files live in assets/photos/ on the website. Only public domain, CC0, CC BY or CC BY-SA images.</t>
        </is>
      </c>
    </row>
    <row r="2">
      <c r="A2" s="118" t="inlineStr">
        <is>
          <t>site_id</t>
        </is>
      </c>
      <c r="B2" s="118" t="inlineStr">
        <is>
          <t>file</t>
        </is>
      </c>
      <c r="C2" s="118" t="inlineStr">
        <is>
          <t>caption</t>
        </is>
      </c>
      <c r="D2" s="118" t="inlineStr">
        <is>
          <t>author</t>
        </is>
      </c>
      <c r="E2" s="118" t="inlineStr">
        <is>
          <t>licence</t>
        </is>
      </c>
      <c r="F2" s="118" t="inlineStr">
        <is>
          <t>licence_url</t>
        </is>
      </c>
      <c r="G2" s="118" t="inlineStr">
        <is>
          <t>source_page</t>
        </is>
      </c>
    </row>
    <row r="3">
      <c r="A3" s="119" t="inlineStr">
        <is>
          <t>rio-tinto-es</t>
        </is>
      </c>
      <c r="B3" s="120" t="inlineStr">
        <is>
          <t>rio-tinto-es-1.jpg</t>
        </is>
      </c>
      <c r="C3" s="120" t="inlineStr">
        <is>
          <t>Red acidic Río Tinto seen from the mining railway</t>
        </is>
      </c>
      <c r="D3" s="120" t="inlineStr">
        <is>
          <t>Gzzz</t>
        </is>
      </c>
      <c r="E3" s="119" t="inlineStr">
        <is>
          <t>CC BY-SA 4.0</t>
        </is>
      </c>
      <c r="F3" s="120" t="inlineStr">
        <is>
          <t>https://creativecommons.org/licenses/by-sa/4.0/</t>
        </is>
      </c>
      <c r="G3" s="120" t="inlineStr">
        <is>
          <t>https://commons.wikimedia.org/wiki/File:R%C3%ADo_Tinto_7.jpg</t>
        </is>
      </c>
    </row>
    <row r="4">
      <c r="A4" s="119" t="inlineStr">
        <is>
          <t>rio-tinto-es</t>
        </is>
      </c>
      <c r="B4" s="120" t="inlineStr">
        <is>
          <t>rio-tinto-es-2.jpg</t>
        </is>
      </c>
      <c r="C4" s="120" t="inlineStr">
        <is>
          <t>Bright red waters at the Río Tinto source, Nerva</t>
        </is>
      </c>
      <c r="D4" s="120" t="inlineStr">
        <is>
          <t>LBM1948</t>
        </is>
      </c>
      <c r="E4" s="119" t="inlineStr">
        <is>
          <t>CC BY-SA 4.0</t>
        </is>
      </c>
      <c r="F4" s="120" t="inlineStr">
        <is>
          <t>https://creativecommons.org/licenses/by-sa/4.0/</t>
        </is>
      </c>
      <c r="G4" s="120" t="inlineStr">
        <is>
          <t>https://commons.wikimedia.org/wiki/File:R%C3%ADo_Tinto%2C_nacimiento_05.jpg</t>
        </is>
      </c>
    </row>
    <row r="5">
      <c r="A5" s="119" t="inlineStr">
        <is>
          <t>rio-tinto-es</t>
        </is>
      </c>
      <c r="B5" s="120" t="inlineStr">
        <is>
          <t>rio-tinto-es-3.jpg</t>
        </is>
      </c>
      <c r="C5" s="120" t="inlineStr">
        <is>
          <t>Río Tinto riverbed near Los Frailes station, Zalamea la Real</t>
        </is>
      </c>
      <c r="D5" s="120" t="inlineStr">
        <is>
          <t>LBM1948</t>
        </is>
      </c>
      <c r="E5" s="119" t="inlineStr">
        <is>
          <t>CC BY-SA 4.0</t>
        </is>
      </c>
      <c r="F5" s="120" t="inlineStr">
        <is>
          <t>https://creativecommons.org/licenses/by-sa/4.0/</t>
        </is>
      </c>
      <c r="G5" s="120" t="inlineStr">
        <is>
          <t>https://commons.wikimedia.org/wiki/File:R%C3%ADo_Tinto%2C_Los_Frailes_11.jpg</t>
        </is>
      </c>
    </row>
    <row r="6">
      <c r="A6" s="119" t="inlineStr">
        <is>
          <t>atacama-yungay-cl</t>
        </is>
      </c>
      <c r="B6" s="120" t="inlineStr">
        <is>
          <t>atacama-yungay-cl-1.jpg</t>
        </is>
      </c>
      <c r="C6" s="120" t="inlineStr">
        <is>
          <t>Barren hyperarid Atacama plain between Antofagasta and Taltal</t>
        </is>
      </c>
      <c r="D6" s="120" t="inlineStr">
        <is>
          <t>Valerio Pillar</t>
        </is>
      </c>
      <c r="E6" s="119" t="inlineStr">
        <is>
          <t>CC BY-SA 2.0</t>
        </is>
      </c>
      <c r="F6" s="120" t="inlineStr">
        <is>
          <t>https://creativecommons.org/licenses/by-sa/2.0/</t>
        </is>
      </c>
      <c r="G6" s="120" t="inlineStr">
        <is>
          <t>https://commons.wikimedia.org/wiki/File:Atacama_Desert_between_Antofagasta_and_Taltal.jpg</t>
        </is>
      </c>
    </row>
    <row r="7">
      <c r="A7" s="119" t="inlineStr">
        <is>
          <t>atacama-yungay-cl</t>
        </is>
      </c>
      <c r="B7" s="120" t="inlineStr">
        <is>
          <t>atacama-yungay-cl-2.jpg</t>
        </is>
      </c>
      <c r="C7" s="120" t="inlineStr">
        <is>
          <t>Typical hyperarid Atacama landscape near Calama, Antofagasta Region</t>
        </is>
      </c>
      <c r="D7" s="120" t="inlineStr">
        <is>
          <t>Diego Delso</t>
        </is>
      </c>
      <c r="E7" s="119" t="inlineStr">
        <is>
          <t>CC BY-SA 4.0</t>
        </is>
      </c>
      <c r="F7" s="120" t="inlineStr">
        <is>
          <t>https://creativecommons.org/licenses/by-sa/4.0/</t>
        </is>
      </c>
      <c r="G7" s="120" t="inlineStr">
        <is>
          <t>https://commons.wikimedia.org/wiki/File:Paisaje_cerca_de_Calama%2C_Chile%2C_2016-02-01%2C_DD_83.JPG</t>
        </is>
      </c>
    </row>
    <row r="8">
      <c r="A8" s="119" t="inlineStr">
        <is>
          <t>dallol-et</t>
        </is>
      </c>
      <c r="B8" s="120" t="inlineStr">
        <is>
          <t>dallol-et-1.jpg</t>
        </is>
      </c>
      <c r="C8" s="120" t="inlineStr">
        <is>
          <t>Aerial view of the Dallol hydrothermal field</t>
        </is>
      </c>
      <c r="D8" s="120" t="inlineStr">
        <is>
          <t>Thomas Fuhrmann</t>
        </is>
      </c>
      <c r="E8" s="119" t="inlineStr">
        <is>
          <t>CC BY-SA 4.0</t>
        </is>
      </c>
      <c r="F8" s="120" t="inlineStr">
        <is>
          <t>https://creativecommons.org/licenses/by-sa/4.0/</t>
        </is>
      </c>
      <c r="G8" s="120" t="inlineStr">
        <is>
          <t>https://commons.wikimedia.org/wiki/File:Ethiopia_-_Dallol.jpg</t>
        </is>
      </c>
    </row>
    <row r="9">
      <c r="A9" s="119" t="inlineStr">
        <is>
          <t>dallol-et</t>
        </is>
      </c>
      <c r="B9" s="120" t="inlineStr">
        <is>
          <t>dallol-et-2.jpg</t>
        </is>
      </c>
      <c r="C9" s="120" t="inlineStr">
        <is>
          <t>Acid pool with salt, sulfur and mineral crusts at Dallol</t>
        </is>
      </c>
      <c r="D9" s="120" t="inlineStr">
        <is>
          <t>Hervé Sthioul</t>
        </is>
      </c>
      <c r="E9" s="119" t="inlineStr">
        <is>
          <t>CC BY 2.5</t>
        </is>
      </c>
      <c r="F9" s="120" t="inlineStr">
        <is>
          <t>https://creativecommons.org/licenses/by/2.5/</t>
        </is>
      </c>
      <c r="G9" s="120" t="inlineStr">
        <is>
          <t>https://commons.wikimedia.org/wiki/File:Dallol-2001.jpg</t>
        </is>
      </c>
    </row>
    <row r="10">
      <c r="A10" s="119" t="inlineStr">
        <is>
          <t>dallol-et</t>
        </is>
      </c>
      <c r="B10" s="120" t="inlineStr">
        <is>
          <t>dallol-et-3.jpg</t>
        </is>
      </c>
      <c r="C10" s="120" t="inlineStr">
        <is>
          <t>Salt geyser formation at Dallol</t>
        </is>
      </c>
      <c r="D10" s="120" t="inlineStr">
        <is>
          <t>Jan Markiewicz</t>
        </is>
      </c>
      <c r="E10" s="119" t="inlineStr">
        <is>
          <t>CC BY-SA 3.0</t>
        </is>
      </c>
      <c r="F10" s="120" t="inlineStr">
        <is>
          <t>https://creativecommons.org/licenses/by-sa/3.0/</t>
        </is>
      </c>
      <c r="G10" s="120" t="inlineStr">
        <is>
          <t>https://commons.wikimedia.org/wiki/File:Dallol_gejzer_solny_-_panoramio.jpg</t>
        </is>
      </c>
    </row>
    <row r="11">
      <c r="A11" s="119" t="inlineStr">
        <is>
          <t>mcmurdo-dry-valleys-aq</t>
        </is>
      </c>
      <c r="B11" s="120" t="inlineStr">
        <is>
          <t>mcmurdo-dry-valleys-aq-1.jpg</t>
        </is>
      </c>
      <c r="C11" s="120" t="inlineStr">
        <is>
          <t>Wright Valley looking west from Bull Pass towards Lake Vanda</t>
        </is>
      </c>
      <c r="D11" s="120" t="inlineStr">
        <is>
          <t>David Saul</t>
        </is>
      </c>
      <c r="E11" s="119" t="inlineStr">
        <is>
          <t>Public domain</t>
        </is>
      </c>
      <c r="F11" s="120" t="n"/>
      <c r="G11" s="120" t="inlineStr">
        <is>
          <t>https://commons.wikimedia.org/wiki/File:Wright_Valley_From_Bull_Pass.jpg</t>
        </is>
      </c>
    </row>
    <row r="12">
      <c r="A12" s="119" t="inlineStr">
        <is>
          <t>mcmurdo-dry-valleys-aq</t>
        </is>
      </c>
      <c r="B12" s="120" t="inlineStr">
        <is>
          <t>mcmurdo-dry-valleys-aq-2.jpg</t>
        </is>
      </c>
      <c r="C12" s="120" t="inlineStr">
        <is>
          <t>Blood Falls seeping from Taylor Glacier into Lake Bonney</t>
        </is>
      </c>
      <c r="D12" s="120" t="inlineStr">
        <is>
          <t>National Science Foundation/Peter Rejcek</t>
        </is>
      </c>
      <c r="E12" s="119" t="inlineStr">
        <is>
          <t>Public domain</t>
        </is>
      </c>
      <c r="F12" s="120" t="n"/>
      <c r="G12" s="120" t="inlineStr">
        <is>
          <t>https://commons.wikimedia.org/wiki/File:Blood_Falls_by_Peter_Rejcek.jpg</t>
        </is>
      </c>
    </row>
    <row r="13">
      <c r="A13" s="119" t="inlineStr">
        <is>
          <t>mcmurdo-dry-valleys-aq</t>
        </is>
      </c>
      <c r="B13" s="120" t="inlineStr">
        <is>
          <t>mcmurdo-dry-valleys-aq-3.jpg</t>
        </is>
      </c>
      <c r="C13" s="120" t="inlineStr">
        <is>
          <t>Taylor Valley with Canada Glacier and Lake Hoare</t>
        </is>
      </c>
      <c r="D13" s="120" t="inlineStr">
        <is>
          <t>David Haney, NSF</t>
        </is>
      </c>
      <c r="E13" s="119" t="inlineStr">
        <is>
          <t>Public domain</t>
        </is>
      </c>
      <c r="F13" s="120" t="n"/>
      <c r="G13" s="120" t="inlineStr">
        <is>
          <t>https://commons.wikimedia.org/wiki/File:Taylor_Valley_2008_01.jpg</t>
        </is>
      </c>
    </row>
    <row r="14">
      <c r="A14" s="119" t="inlineStr">
        <is>
          <t>haughton-crater-ca</t>
        </is>
      </c>
      <c r="B14" s="120" t="inlineStr">
        <is>
          <t>haughton-crater-ca-1.jpg</t>
        </is>
      </c>
      <c r="C14" s="120" t="inlineStr">
        <is>
          <t>View near the edge of Haughton impact crater</t>
        </is>
      </c>
      <c r="D14" s="120" t="inlineStr">
        <is>
          <t>Haughton Mars Project</t>
        </is>
      </c>
      <c r="E14" s="119" t="inlineStr">
        <is>
          <t>Public domain</t>
        </is>
      </c>
      <c r="F14" s="120" t="n"/>
      <c r="G14" s="120" t="inlineStr">
        <is>
          <t>https://commons.wikimedia.org/wiki/File:Edge_of_Haughton_Crater_%282672692755%29.jpg</t>
        </is>
      </c>
    </row>
    <row r="15">
      <c r="A15" s="119" t="inlineStr">
        <is>
          <t>haughton-crater-ca</t>
        </is>
      </c>
      <c r="B15" s="120" t="inlineStr">
        <is>
          <t>haughton-crater-ca-2.jpg</t>
        </is>
      </c>
      <c r="C15" s="120" t="inlineStr">
        <is>
          <t>Rock formation inside Haughton Crater, Devon Island</t>
        </is>
      </c>
      <c r="D15" s="120" t="inlineStr">
        <is>
          <t>Haughton Mars Project</t>
        </is>
      </c>
      <c r="E15" s="119" t="inlineStr">
        <is>
          <t>Public domain</t>
        </is>
      </c>
      <c r="F15" s="120" t="n"/>
      <c r="G15" s="120" t="inlineStr">
        <is>
          <t>https://commons.wikimedia.org/wiki/File:Rock_Formation_in_Haughton_Crater_%282673474042%29.jpg</t>
        </is>
      </c>
    </row>
    <row r="16">
      <c r="A16" s="119" t="inlineStr">
        <is>
          <t>haughton-crater-ca</t>
        </is>
      </c>
      <c r="B16" s="120" t="inlineStr">
        <is>
          <t>haughton-crater-ca-3.jpg</t>
        </is>
      </c>
      <c r="C16" s="120" t="inlineStr">
        <is>
          <t>NASA K10 rovers near the Haughton-Mars Project base camp</t>
        </is>
      </c>
      <c r="D16" s="120" t="inlineStr">
        <is>
          <t>NASA</t>
        </is>
      </c>
      <c r="E16" s="119" t="inlineStr">
        <is>
          <t>Public domain</t>
        </is>
      </c>
      <c r="F16" s="120" t="n"/>
      <c r="G16" s="120" t="inlineStr">
        <is>
          <t>https://commons.wikimedia.org/wiki/File:Rovers_Red_and_Black_at_Houghton_Crater_Devon_Island_Canada.jpg</t>
        </is>
      </c>
    </row>
    <row r="17">
      <c r="A17" s="119" t="inlineStr">
        <is>
          <t>iceland-volcanic-fields-is</t>
        </is>
      </c>
      <c r="B17" s="120" t="inlineStr">
        <is>
          <t>iceland-volcanic-fields-is-1.jpg</t>
        </is>
      </c>
      <c r="C17" s="120" t="inlineStr">
        <is>
          <t>Holuhraun fissure eruption, September 2014</t>
        </is>
      </c>
      <c r="D17" s="120" t="inlineStr">
        <is>
          <t>Robert Askew ( https://imaggeo.egu.eu/user/283721/ )</t>
        </is>
      </c>
      <c r="E17" s="119" t="inlineStr">
        <is>
          <t>CC BY-SA 3.0</t>
        </is>
      </c>
      <c r="F17" s="120" t="inlineStr">
        <is>
          <t>https://creativecommons.org/licenses/by-sa/3.0/</t>
        </is>
      </c>
      <c r="G17" s="120" t="inlineStr">
        <is>
          <t>https://commons.wikimedia.org/wiki/File:Holuhraun_Fissure_Eruption_in_Iceland_-_September_2014.jpg</t>
        </is>
      </c>
    </row>
    <row r="18">
      <c r="A18" s="119" t="inlineStr">
        <is>
          <t>iceland-volcanic-fields-is</t>
        </is>
      </c>
      <c r="B18" s="120" t="inlineStr">
        <is>
          <t>iceland-volcanic-fields-is-2.jpg</t>
        </is>
      </c>
      <c r="C18" s="120" t="inlineStr">
        <is>
          <t>Aerial view of the Holuhraun eruption and lava field</t>
        </is>
      </c>
      <c r="D18" s="120" t="inlineStr">
        <is>
          <t>Milan Nykodym from Kutna Hora, Czech Republic</t>
        </is>
      </c>
      <c r="E18" s="119" t="inlineStr">
        <is>
          <t>CC BY-SA 2.0</t>
        </is>
      </c>
      <c r="F18" s="120" t="inlineStr">
        <is>
          <t>https://creativecommons.org/licenses/by-sa/2.0/</t>
        </is>
      </c>
      <c r="G18" s="120" t="inlineStr">
        <is>
          <t>https://commons.wikimedia.org/wiki/File:B%C3%A1r%C3%B0arbunga_-_Holuhraun_%2814971302084%29.jpg</t>
        </is>
      </c>
    </row>
    <row r="19">
      <c r="A19" s="119" t="inlineStr">
        <is>
          <t>iceland-volcanic-fields-is</t>
        </is>
      </c>
      <c r="B19" s="120" t="inlineStr">
        <is>
          <t>iceland-volcanic-fields-is-3.jpg</t>
        </is>
      </c>
      <c r="C19" s="120" t="inlineStr">
        <is>
          <t>Leirhnjúkur lava field in the Krafla caldera</t>
        </is>
      </c>
      <c r="D19" s="120" t="inlineStr">
        <is>
          <t>rheins</t>
        </is>
      </c>
      <c r="E19" s="119" t="inlineStr">
        <is>
          <t>CC BY 3.0</t>
        </is>
      </c>
      <c r="F19" s="120" t="inlineStr">
        <is>
          <t>https://creativecommons.org/licenses/by/3.0/</t>
        </is>
      </c>
      <c r="G19" s="120" t="inlineStr">
        <is>
          <t>https://commons.wikimedia.org/wiki/File:Leirhnj%C3%BAkur_Lava_Field_-_2013.08_-_panoramio.jpg</t>
        </is>
      </c>
    </row>
    <row r="20">
      <c r="A20" s="119" t="inlineStr">
        <is>
          <t>pilbara-strelley-pool-au</t>
        </is>
      </c>
      <c r="B20" s="120" t="inlineStr">
        <is>
          <t>pilbara-strelley-pool-au-1.jpg</t>
        </is>
      </c>
      <c r="C20" s="120" t="inlineStr">
        <is>
          <t>Archean pillow basalt outcrop, Mount Ada Basalt, eastern Pilbara</t>
        </is>
      </c>
      <c r="D20" s="120" t="inlineStr">
        <is>
          <t>A.R. Brenner, R.R. Fu, A.J. Brown, E.B. Hodgin, D.T. Flannery &amp; M.D. Schmitz</t>
        </is>
      </c>
      <c r="E20" s="119" t="inlineStr">
        <is>
          <t>CC BY 4.0</t>
        </is>
      </c>
      <c r="F20" s="120" t="inlineStr">
        <is>
          <t>https://creativecommons.org/licenses/by/4.0/</t>
        </is>
      </c>
      <c r="G20" s="120" t="inlineStr">
        <is>
          <t>https://commons.wikimedia.org/wiki/File:Pillow_structures_in_Mount_Ada_Basalt.jpg</t>
        </is>
      </c>
    </row>
    <row r="21">
      <c r="A21" s="119" t="inlineStr">
        <is>
          <t>pilbara-strelley-pool-au</t>
        </is>
      </c>
      <c r="B21" s="120" t="inlineStr">
        <is>
          <t>pilbara-strelley-pool-au-2.jpg</t>
        </is>
      </c>
      <c r="C21" s="120" t="inlineStr">
        <is>
          <t>Hamersley Range landscape, Pilbara Region</t>
        </is>
      </c>
      <c r="D21" s="120" t="inlineStr">
        <is>
          <t>Barry T Coles at English Wikipedia</t>
        </is>
      </c>
      <c r="E21" s="119" t="inlineStr">
        <is>
          <t>Public domain</t>
        </is>
      </c>
      <c r="F21" s="120" t="n"/>
      <c r="G21" s="120" t="inlineStr">
        <is>
          <t>https://commons.wikimedia.org/wiki/File:Hamersley_Range%2C_Pilbara_Region%2C_Western_Australia.JPG</t>
        </is>
      </c>
    </row>
    <row r="22">
      <c r="A22" s="119" t="inlineStr">
        <is>
          <t>shark-bay-hamelin-pool-au</t>
        </is>
      </c>
      <c r="B22" s="120" t="inlineStr">
        <is>
          <t>shark-bay-hamelin-pool-au-1.jpg</t>
        </is>
      </c>
      <c r="C22" s="120" t="inlineStr">
        <is>
          <t>Living stromatolites in Hamelin Pool, Shark Bay</t>
        </is>
      </c>
      <c r="D22" s="120" t="inlineStr">
        <is>
          <t>Paul Harrison</t>
        </is>
      </c>
      <c r="E22" s="119" t="inlineStr">
        <is>
          <t>CC BY-SA 3.0</t>
        </is>
      </c>
      <c r="F22" s="120" t="inlineStr">
        <is>
          <t>https://creativecommons.org/licenses/by-sa/3.0/</t>
        </is>
      </c>
      <c r="G22" s="120" t="inlineStr">
        <is>
          <t>https://commons.wikimedia.org/wiki/File:Stromatolites_in_Sharkbay.jpg</t>
        </is>
      </c>
    </row>
    <row r="23">
      <c r="A23" s="119" t="inlineStr">
        <is>
          <t>shark-bay-hamelin-pool-au</t>
        </is>
      </c>
      <c r="B23" s="120" t="inlineStr">
        <is>
          <t>shark-bay-hamelin-pool-au-2.jpg</t>
        </is>
      </c>
      <c r="C23" s="120" t="inlineStr">
        <is>
          <t>Stromatolites at Hamelin Pool Marine Nature Reserve</t>
        </is>
      </c>
      <c r="D23" s="120" t="inlineStr">
        <is>
          <t>Martin Kraft</t>
        </is>
      </c>
      <c r="E23" s="119" t="inlineStr">
        <is>
          <t>CC BY-SA 3.0</t>
        </is>
      </c>
      <c r="F23" s="120" t="inlineStr">
        <is>
          <t>https://creativecommons.org/licenses/by-sa/3.0/</t>
        </is>
      </c>
      <c r="G23" s="120" t="inlineStr">
        <is>
          <t>https://commons.wikimedia.org/wiki/File:MK-08233_Hamelin_Pool_Stromatolites.jpg</t>
        </is>
      </c>
    </row>
    <row r="24">
      <c r="A24" s="119" t="inlineStr">
        <is>
          <t>shark-bay-hamelin-pool-au</t>
        </is>
      </c>
      <c r="B24" s="120" t="inlineStr">
        <is>
          <t>shark-bay-hamelin-pool-au-3.jpg</t>
        </is>
      </c>
      <c r="C24" s="120" t="inlineStr">
        <is>
          <t>Stromatolite field in shallow water at Hamelin Pool</t>
        </is>
      </c>
      <c r="D24" s="120" t="inlineStr">
        <is>
          <t>Phil Whitehouse from London, United Kingdom</t>
        </is>
      </c>
      <c r="E24" s="119" t="inlineStr">
        <is>
          <t>CC BY 2.0</t>
        </is>
      </c>
      <c r="F24" s="120" t="inlineStr">
        <is>
          <t>https://creativecommons.org/licenses/by/2.0/</t>
        </is>
      </c>
      <c r="G24" s="120" t="inlineStr">
        <is>
          <t>https://commons.wikimedia.org/wiki/File:Hamelin_Pool_%28Stromatolites%29_%282052468336%29.jpg</t>
        </is>
      </c>
    </row>
    <row r="25">
      <c r="A25" s="119" t="inlineStr">
        <is>
          <t>arkaroola-au</t>
        </is>
      </c>
      <c r="B25" s="120" t="inlineStr">
        <is>
          <t>arkaroola-au-1.jpg</t>
        </is>
      </c>
      <c r="C25" s="120" t="inlineStr">
        <is>
          <t>Sunset over the Arkaroola ranges, northern Flinders Ranges</t>
        </is>
      </c>
      <c r="D25" s="120" t="inlineStr">
        <is>
          <t>John Morton from Adelaide</t>
        </is>
      </c>
      <c r="E25" s="119" t="inlineStr">
        <is>
          <t>CC BY 2.0</t>
        </is>
      </c>
      <c r="F25" s="120" t="inlineStr">
        <is>
          <t>https://creativecommons.org/licenses/by/2.0/</t>
        </is>
      </c>
      <c r="G25" s="120" t="inlineStr">
        <is>
          <t>https://commons.wikimedia.org/wiki/File:Arkaroola_Sunset%2C_South_Australia_%2849849951657%29.jpg</t>
        </is>
      </c>
    </row>
    <row r="26">
      <c r="A26" s="119" t="inlineStr">
        <is>
          <t>arkaroola-au</t>
        </is>
      </c>
      <c r="B26" s="120" t="inlineStr">
        <is>
          <t>arkaroola-au-2.jpg</t>
        </is>
      </c>
      <c r="C26" s="120" t="inlineStr">
        <is>
          <t>Former Radium Ridge uranium mine at Mount Gee, Arkaroola</t>
        </is>
      </c>
      <c r="D26" s="120" t="inlineStr">
        <is>
          <t>Geomartin</t>
        </is>
      </c>
      <c r="E26" s="119" t="inlineStr">
        <is>
          <t>CC BY-SA 3.0</t>
        </is>
      </c>
      <c r="F26" s="120" t="inlineStr">
        <is>
          <t>https://creativecommons.org/licenses/by-sa/3.0/</t>
        </is>
      </c>
      <c r="G26" s="120" t="inlineStr">
        <is>
          <t>https://commons.wikimedia.org/wiki/File:Radiumridgemine_arkaroola.JPG</t>
        </is>
      </c>
    </row>
    <row r="27">
      <c r="A27" s="119" t="inlineStr">
        <is>
          <t>arkaroola-au</t>
        </is>
      </c>
      <c r="B27" s="120" t="inlineStr">
        <is>
          <t>arkaroola-au-3.jpg</t>
        </is>
      </c>
      <c r="C27" s="120" t="inlineStr">
        <is>
          <t>Flinders Ranges at Paralana Hot Springs</t>
        </is>
      </c>
      <c r="D27" s="120" t="inlineStr">
        <is>
          <t>State Government Photographer</t>
        </is>
      </c>
      <c r="E27" s="119" t="inlineStr">
        <is>
          <t>CC0</t>
        </is>
      </c>
      <c r="F27" s="120" t="inlineStr">
        <is>
          <t>https://creativecommons.org/publicdomain/zero/1.0/</t>
        </is>
      </c>
      <c r="G27" s="120" t="inlineStr">
        <is>
          <t>https://commons.wikimedia.org/wiki/File:View_of_Flinders_Ranges%28GN10237%29.jpg</t>
        </is>
      </c>
    </row>
    <row r="28">
      <c r="A28" s="119" t="inlineStr">
        <is>
          <t>lanzarote-es</t>
        </is>
      </c>
      <c r="B28" s="120" t="inlineStr">
        <is>
          <t>lanzarote-es-1.jpg</t>
        </is>
      </c>
      <c r="C28" s="120" t="inlineStr">
        <is>
          <t>ʻAʻā lava field in Timanfaya National Park</t>
        </is>
      </c>
      <c r="D28" s="120" t="inlineStr">
        <is>
          <t>H. Zell</t>
        </is>
      </c>
      <c r="E28" s="119" t="inlineStr">
        <is>
          <t>CC BY-SA 3.0</t>
        </is>
      </c>
      <c r="F28" s="120" t="inlineStr">
        <is>
          <t>https://creativecommons.org/licenses/by-sa/3.0/</t>
        </is>
      </c>
      <c r="G28" s="120" t="inlineStr">
        <is>
          <t>https://commons.wikimedia.org/wiki/File:Timanfaya_-_Lanzarote_04.jpg</t>
        </is>
      </c>
    </row>
    <row r="29">
      <c r="A29" s="119" t="inlineStr">
        <is>
          <t>lanzarote-es</t>
        </is>
      </c>
      <c r="B29" s="120" t="inlineStr">
        <is>
          <t>lanzarote-es-2.jpg</t>
        </is>
      </c>
      <c r="C29" s="120" t="inlineStr">
        <is>
          <t>Pāhoehoe lava field in Timanfaya National Park</t>
        </is>
      </c>
      <c r="D29" s="120" t="inlineStr">
        <is>
          <t>H. Zell</t>
        </is>
      </c>
      <c r="E29" s="119" t="inlineStr">
        <is>
          <t>CC BY-SA 3.0</t>
        </is>
      </c>
      <c r="F29" s="120" t="inlineStr">
        <is>
          <t>https://creativecommons.org/licenses/by-sa/3.0/</t>
        </is>
      </c>
      <c r="G29" s="120" t="inlineStr">
        <is>
          <t>https://commons.wikimedia.org/wiki/File:Timanfaya_-_Lanzarote_02.jpg</t>
        </is>
      </c>
    </row>
    <row r="30">
      <c r="A30" s="119" t="inlineStr">
        <is>
          <t>lanzarote-es</t>
        </is>
      </c>
      <c r="B30" s="120" t="inlineStr">
        <is>
          <t>lanzarote-es-3.jpg</t>
        </is>
      </c>
      <c r="C30" s="120" t="inlineStr">
        <is>
          <t>Lava fields and volcanic cones, Timanfaya National Park</t>
        </is>
      </c>
      <c r="D30" s="120" t="inlineStr">
        <is>
          <t>Gerd Eichmann</t>
        </is>
      </c>
      <c r="E30" s="119" t="inlineStr">
        <is>
          <t>CC BY 4.0</t>
        </is>
      </c>
      <c r="F30" s="120" t="inlineStr">
        <is>
          <t>https://creativecommons.org/licenses/by/4.0/</t>
        </is>
      </c>
      <c r="G30" s="120" t="inlineStr">
        <is>
          <t>https://commons.wikimedia.org/wiki/File:Lanzarote-Nationalpark_Timanfaya-12-Lava-2015-gje.jpg</t>
        </is>
      </c>
    </row>
    <row r="31">
      <c r="A31" s="119" t="inlineStr">
        <is>
          <t>bockfjord-svalbard-sj</t>
        </is>
      </c>
      <c r="B31" s="120" t="inlineStr">
        <is>
          <t>bockfjord-svalbard-sj-1.jpg</t>
        </is>
      </c>
      <c r="C31" s="120" t="inlineStr">
        <is>
          <t>Bockfjorden with Sverrefjellet volcano and Adolfbreen glacier</t>
        </is>
      </c>
      <c r="D31" s="120" t="inlineStr">
        <is>
          <t>Bjoertvedt</t>
        </is>
      </c>
      <c r="E31" s="119" t="inlineStr">
        <is>
          <t>CC BY-SA 3.0</t>
        </is>
      </c>
      <c r="F31" s="120" t="inlineStr">
        <is>
          <t>https://creativecommons.org/licenses/by-sa/3.0/</t>
        </is>
      </c>
      <c r="G31" s="120" t="inlineStr">
        <is>
          <t>https://commons.wikimedia.org/wiki/File:Haakon_VII_Land_Bockfjorden_IMG_5543_Trolltindane_Sverrefjellet_Adolfbreen_Sm%C3%B6rstabben.JPG</t>
        </is>
      </c>
    </row>
    <row r="32">
      <c r="A32" s="119" t="inlineStr">
        <is>
          <t>bockfjord-svalbard-sj</t>
        </is>
      </c>
      <c r="B32" s="120" t="inlineStr">
        <is>
          <t>bockfjord-svalbard-sj-2.jpg</t>
        </is>
      </c>
      <c r="C32" s="120" t="inlineStr">
        <is>
          <t>Sverrefjellet and surrounding peaks above Bockfjorden, Svalbard</t>
        </is>
      </c>
      <c r="D32" s="120" t="inlineStr">
        <is>
          <t>Bjoertvedt</t>
        </is>
      </c>
      <c r="E32" s="119" t="inlineStr">
        <is>
          <t>CC BY-SA 3.0</t>
        </is>
      </c>
      <c r="F32" s="120" t="inlineStr">
        <is>
          <t>https://creativecommons.org/licenses/by-sa/3.0/</t>
        </is>
      </c>
      <c r="G32" s="120" t="inlineStr">
        <is>
          <t>https://commons.wikimedia.org/wiki/File:Haakon_VII_Land_Sverrefjellet_Trolltindane_Adolfbreen_Williamstaarnet_behind_Roosflya_IMG_5500.JPG</t>
        </is>
      </c>
    </row>
    <row r="33">
      <c r="A33" s="119" t="inlineStr">
        <is>
          <t>mauna-kea-us</t>
        </is>
      </c>
      <c r="B33" s="120" t="inlineStr">
        <is>
          <t>mauna-kea-us-1.jpg</t>
        </is>
      </c>
      <c r="C33" s="120" t="inlineStr">
        <is>
          <t>Cinder cones (puʻu) at the summit of Mauna Kea</t>
        </is>
      </c>
      <c r="D33" s="120" t="inlineStr">
        <is>
          <t>S P Schmidt</t>
        </is>
      </c>
      <c r="E33" s="119" t="inlineStr">
        <is>
          <t>CC BY 4.0</t>
        </is>
      </c>
      <c r="F33" s="120" t="inlineStr">
        <is>
          <t>https://creativecommons.org/licenses/by/4.0/</t>
        </is>
      </c>
      <c r="G33" s="120" t="inlineStr">
        <is>
          <t>https://commons.wikimedia.org/wiki/File:Pu%27u_on_Mauna_Kea.jpg</t>
        </is>
      </c>
    </row>
    <row r="34">
      <c r="A34" s="119" t="inlineStr">
        <is>
          <t>mauna-kea-us</t>
        </is>
      </c>
      <c r="B34" s="120" t="inlineStr">
        <is>
          <t>mauna-kea-us-2.jpg</t>
        </is>
      </c>
      <c r="C34" s="120" t="inlineStr">
        <is>
          <t>Volcanic cinder cones near the Mauna Kea summit</t>
        </is>
      </c>
      <c r="D34" s="120" t="inlineStr">
        <is>
          <t>Kevin R Foote</t>
        </is>
      </c>
      <c r="E34" s="119" t="inlineStr">
        <is>
          <t>CC BY-SA 3.0</t>
        </is>
      </c>
      <c r="F34" s="120" t="inlineStr">
        <is>
          <t>https://creativecommons.org/licenses/by-sa/3.0/</t>
        </is>
      </c>
      <c r="G34" s="120" t="inlineStr">
        <is>
          <t>https://commons.wikimedia.org/wiki/File:Volcanic_Cinder_Cones_near_summit_of_Mauna_Kea_-_panoramio.jpg</t>
        </is>
      </c>
    </row>
    <row r="35">
      <c r="A35" s="119" t="inlineStr">
        <is>
          <t>mauna-kea-us</t>
        </is>
      </c>
      <c r="B35" s="120" t="inlineStr">
        <is>
          <t>mauna-kea-us-3.jpg</t>
        </is>
      </c>
      <c r="C35" s="120" t="inlineStr">
        <is>
          <t>Puʻu Poliʻahu cinder cone with summit telescopes</t>
        </is>
      </c>
      <c r="D35" s="120" t="inlineStr">
        <is>
          <t>Denys (fr)</t>
        </is>
      </c>
      <c r="E35" s="119" t="inlineStr">
        <is>
          <t>CC BY 3.0</t>
        </is>
      </c>
      <c r="F35" s="120" t="inlineStr">
        <is>
          <t>https://creativecommons.org/licenses/by/3.0/</t>
        </is>
      </c>
      <c r="G35" s="120" t="inlineStr">
        <is>
          <t>https://commons.wikimedia.org/wiki/File:Puu_Poliahu_JCMT_SMA.jpg</t>
        </is>
      </c>
    </row>
    <row r="36">
      <c r="A36" s="119" t="inlineStr">
        <is>
          <t>boulby-mine-gb</t>
        </is>
      </c>
      <c r="B36" s="120" t="inlineStr">
        <is>
          <t>boulby-mine-gb-1.jpg</t>
        </is>
      </c>
      <c r="C36" s="120" t="inlineStr">
        <is>
          <t>Boulby Mine surface buildings, North Yorkshire coast</t>
        </is>
      </c>
      <c r="D36" s="120" t="inlineStr">
        <is>
          <t>Labratcreative</t>
        </is>
      </c>
      <c r="E36" s="119" t="inlineStr">
        <is>
          <t>CC BY-SA 4.0</t>
        </is>
      </c>
      <c r="F36" s="120" t="inlineStr">
        <is>
          <t>https://creativecommons.org/licenses/by-sa/4.0/</t>
        </is>
      </c>
      <c r="G36" s="120" t="inlineStr">
        <is>
          <t>https://commons.wikimedia.org/wiki/File:BoulbyMineICLUK.jpg</t>
        </is>
      </c>
    </row>
    <row r="37">
      <c r="A37" s="119" t="inlineStr">
        <is>
          <t>boulby-mine-gb</t>
        </is>
      </c>
      <c r="B37" s="120" t="inlineStr">
        <is>
          <t>boulby-mine-gb-2.jpg</t>
        </is>
      </c>
      <c r="C37" s="120" t="inlineStr">
        <is>
          <t>Boulby potash mine seen from the hillside</t>
        </is>
      </c>
      <c r="D37" s="120" t="inlineStr">
        <is>
          <t>KlausFoehl</t>
        </is>
      </c>
      <c r="E37" s="119" t="inlineStr">
        <is>
          <t>CC BY-SA 3.0</t>
        </is>
      </c>
      <c r="F37" s="120" t="inlineStr">
        <is>
          <t>https://creativecommons.org/licenses/by-sa/3.0/</t>
        </is>
      </c>
      <c r="G37" s="120" t="inlineStr">
        <is>
          <t>https://commons.wikimedia.org/wiki/File:Boulby_mine01_2010-09-09.jpg</t>
        </is>
      </c>
    </row>
    <row r="38">
      <c r="A38" s="119" t="inlineStr">
        <is>
          <t>boulby-mine-gb</t>
        </is>
      </c>
      <c r="B38" s="120" t="inlineStr">
        <is>
          <t>boulby-mine-gb-3.jpg</t>
        </is>
      </c>
      <c r="C38" s="120" t="inlineStr">
        <is>
          <t>View across farmland towards Boulby Potash Mine</t>
        </is>
      </c>
      <c r="D38" s="120" t="inlineStr">
        <is>
          <t>Michael Jagger</t>
        </is>
      </c>
      <c r="E38" s="119" t="inlineStr">
        <is>
          <t>CC BY-SA 2.0</t>
        </is>
      </c>
      <c r="F38" s="120" t="inlineStr">
        <is>
          <t>https://creativecommons.org/licenses/by-sa/2.0/</t>
        </is>
      </c>
      <c r="G38" s="120" t="inlineStr">
        <is>
          <t>https://commons.wikimedia.org/wiki/File:View_towards_Boulby_Potash_Mine_-_geograph.org.uk_-_1752884.jpg</t>
        </is>
      </c>
    </row>
    <row r="39">
      <c r="A39" s="119" t="inlineStr">
        <is>
          <t>lost-city-vent-field</t>
        </is>
      </c>
      <c r="B39" s="120" t="inlineStr">
        <is>
          <t>lost-city-vent-field-1.jpg</t>
        </is>
      </c>
      <c r="C39" s="120" t="inlineStr">
        <is>
          <t>Tall carbonate chimney at the Lost City field</t>
        </is>
      </c>
      <c r="D39" s="120" t="inlineStr">
        <is>
          <t>National Science Foundation (University of Washington/Woods Hole Oceanographic Institution)</t>
        </is>
      </c>
      <c r="E39" s="119" t="inlineStr">
        <is>
          <t>Public domain</t>
        </is>
      </c>
      <c r="F39" s="120" t="n"/>
      <c r="G39" s="120" t="inlineStr">
        <is>
          <t>https://commons.wikimedia.org/wiki/File:Lost_City_%28hydrothermal_field%2900.jpg</t>
        </is>
      </c>
    </row>
    <row r="40">
      <c r="A40" s="119" t="inlineStr">
        <is>
          <t>lost-city-vent-field</t>
        </is>
      </c>
      <c r="B40" s="120" t="inlineStr">
        <is>
          <t>lost-city-vent-field-2.jpg</t>
        </is>
      </c>
      <c r="C40" s="120" t="inlineStr">
        <is>
          <t>Carbonate tower rising at the Lost City vent field</t>
        </is>
      </c>
      <c r="D40" s="120" t="inlineStr">
        <is>
          <t>“Susan Lang, U. of SC. / NSF / ROV Jason / 2018 © Woods Hole Oceanographic Institution.”</t>
        </is>
      </c>
      <c r="E40" s="119" t="inlineStr">
        <is>
          <t>CC BY-SA 4.0</t>
        </is>
      </c>
      <c r="F40" s="120" t="inlineStr">
        <is>
          <t>https://creativecommons.org/licenses/by-sa/4.0/</t>
        </is>
      </c>
      <c r="G40" s="120" t="inlineStr">
        <is>
          <t>https://commons.wikimedia.org/wiki/File:Sulis_20180919080019.jpg</t>
        </is>
      </c>
    </row>
    <row r="41">
      <c r="A41" s="119" t="inlineStr">
        <is>
          <t>lost-city-vent-field</t>
        </is>
      </c>
      <c r="B41" s="120" t="inlineStr">
        <is>
          <t>lost-city-vent-field-3.jpg</t>
        </is>
      </c>
      <c r="C41" s="120" t="inlineStr">
        <is>
          <t>Carbonate formation at Lost City, Okeanos Explorer expedition</t>
        </is>
      </c>
      <c r="D41" s="120" t="inlineStr">
        <is>
          <t>NOAA</t>
        </is>
      </c>
      <c r="E41" s="119" t="inlineStr">
        <is>
          <t>Public domain</t>
        </is>
      </c>
      <c r="F41" s="120" t="n"/>
      <c r="G41" s="120" t="inlineStr">
        <is>
          <t>https://commons.wikimedia.org/wiki/File:Formation_at_Lost_City_Field.jpg</t>
        </is>
      </c>
    </row>
    <row r="42">
      <c r="A42" s="119" t="inlineStr">
        <is>
          <t>lake-vostok-aq</t>
        </is>
      </c>
      <c r="B42" s="120" t="inlineStr">
        <is>
          <t>lake-vostok-aq-1.jpg</t>
        </is>
      </c>
      <c r="C42" s="120" t="inlineStr">
        <is>
          <t>Russian Vostok Station on the East Antarctic plateau</t>
        </is>
      </c>
      <c r="D42" s="120" t="inlineStr">
        <is>
          <t>NSF/Josh Landis, employee 1999-2001</t>
        </is>
      </c>
      <c r="E42" s="119" t="inlineStr">
        <is>
          <t>Public domain</t>
        </is>
      </c>
      <c r="F42" s="120" t="n"/>
      <c r="G42" s="120" t="inlineStr">
        <is>
          <t>https://commons.wikimedia.org/wiki/File:Russian_station_Vostok.jpg</t>
        </is>
      </c>
    </row>
    <row r="43">
      <c r="A43" s="119" t="inlineStr">
        <is>
          <t>lake-vostok-aq</t>
        </is>
      </c>
      <c r="B43" s="120" t="inlineStr">
        <is>
          <t>lake-vostok-aq-2.jpg</t>
        </is>
      </c>
      <c r="C43" s="120" t="inlineStr">
        <is>
          <t>RADARSAT radar image of the ice surface above Lake Vostok</t>
        </is>
      </c>
      <c r="D43" s="120" t="inlineStr">
        <is>
          <t>NASA/Goddard Space Flight Center Scientific Visualization Studio. Additional credit goes to Canadian Space Agency, RADARSAT International Inc.</t>
        </is>
      </c>
      <c r="E43" s="119" t="inlineStr">
        <is>
          <t>Public domain</t>
        </is>
      </c>
      <c r="F43" s="120" t="n"/>
      <c r="G43" s="120" t="inlineStr">
        <is>
          <t>https://commons.wikimedia.org/wiki/File:Lake_Vostok_NASA.jpg</t>
        </is>
      </c>
    </row>
    <row r="44">
      <c r="A44" s="119" t="inlineStr">
        <is>
          <t>lava-beds-us</t>
        </is>
      </c>
      <c r="B44" s="120" t="inlineStr">
        <is>
          <t>lava-beds-us-1.jpg</t>
        </is>
      </c>
      <c r="C44" s="120" t="inlineStr">
        <is>
          <t>Illuminated lava tube cave at Lava Beds National Monument</t>
        </is>
      </c>
      <c r="D44" s="120" t="inlineStr">
        <is>
          <t>Leonard G.</t>
        </is>
      </c>
      <c r="E44" s="119" t="inlineStr">
        <is>
          <t>Public domain</t>
        </is>
      </c>
      <c r="F44" s="120" t="n"/>
      <c r="G44" s="120" t="inlineStr">
        <is>
          <t>https://commons.wikimedia.org/wiki/File:IlluminatedLavaTubeAtLBNMi-C0070.JPG</t>
        </is>
      </c>
    </row>
    <row r="45">
      <c r="A45" s="119" t="inlineStr">
        <is>
          <t>lava-beds-us</t>
        </is>
      </c>
      <c r="B45" s="120" t="inlineStr">
        <is>
          <t>lava-beds-us-2.jpg</t>
        </is>
      </c>
      <c r="C45" s="120" t="inlineStr">
        <is>
          <t>Classic lava tube passage, Lava Beds National Monument</t>
        </is>
      </c>
      <c r="D45" s="120" t="inlineStr">
        <is>
          <t>Dave Bunnell</t>
        </is>
      </c>
      <c r="E45" s="119" t="inlineStr">
        <is>
          <t>CC BY-SA 3.0</t>
        </is>
      </c>
      <c r="F45" s="120" t="inlineStr">
        <is>
          <t>https://creativecommons.org/licenses/by-sa/3.0/</t>
        </is>
      </c>
      <c r="G45" s="120" t="inlineStr">
        <is>
          <t>https://commons.wikimedia.org/wiki/File:Classic_lava_tube_passage.jpg</t>
        </is>
      </c>
    </row>
    <row r="46">
      <c r="A46" s="119" t="inlineStr">
        <is>
          <t>lava-beds-us</t>
        </is>
      </c>
      <c r="B46" s="120" t="inlineStr">
        <is>
          <t>lava-beds-us-3.jpg</t>
        </is>
      </c>
      <c r="C46" s="120" t="inlineStr">
        <is>
          <t>Valentine Cave lava tube, Lava Beds National Monument</t>
        </is>
      </c>
      <c r="D46" s="120" t="inlineStr">
        <is>
          <t>Dave Bunnell / Under Earth Images</t>
        </is>
      </c>
      <c r="E46" s="119" t="inlineStr">
        <is>
          <t>CC BY-SA 2.5</t>
        </is>
      </c>
      <c r="F46" s="120" t="inlineStr">
        <is>
          <t>https://creativecommons.org/licenses/by-sa/2.5/</t>
        </is>
      </c>
      <c r="G46" s="120" t="inlineStr">
        <is>
          <t>https://commons.wikimedia.org/wiki/File:Valentine_Cave.JPG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style="62" min="1" max="1"/>
    <col width="11" customWidth="1" style="62" min="2" max="2"/>
    <col width="38" customWidth="1" style="62" min="3" max="3"/>
    <col width="10" customWidth="1" style="62" min="4" max="4"/>
    <col width="10" customWidth="1" style="62" min="5" max="5"/>
    <col width="9" customWidth="1" style="62" min="6" max="6"/>
    <col width="60" customWidth="1" style="62" min="7" max="7"/>
    <col width="11" customWidth="1" style="62" min="8" max="8"/>
    <col width="40" customWidth="1" style="62" min="9" max="9"/>
    <col width="40" customWidth="1" style="62" min="10" max="10"/>
    <col width="32" customWidth="1" style="62" min="11" max="11"/>
    <col width="40" customWidth="1" style="62" min="12" max="12"/>
    <col width="50" customWidth="1" style="62" min="13" max="13"/>
  </cols>
  <sheetData>
    <row r="1">
      <c r="A1" s="117" t="inlineStr">
        <is>
          <t>COMPARISONS: the area on the target body shown beside each site. Longitude is east-positive (-180 to 180). view_km sets how wide an area the map shows at first.</t>
        </is>
      </c>
    </row>
    <row r="2">
      <c r="A2" s="118" t="inlineStr">
        <is>
          <t>site_id</t>
        </is>
      </c>
      <c r="B2" s="118" t="inlineStr">
        <is>
          <t>body</t>
        </is>
      </c>
      <c r="C2" s="118" t="inlineStr">
        <is>
          <t>area_name</t>
        </is>
      </c>
      <c r="D2" s="118" t="inlineStr">
        <is>
          <t>latitude</t>
        </is>
      </c>
      <c r="E2" s="118" t="inlineStr">
        <is>
          <t>longitude</t>
        </is>
      </c>
      <c r="F2" s="118" t="inlineStr">
        <is>
          <t>view_km</t>
        </is>
      </c>
      <c r="G2" s="118" t="inlineStr">
        <is>
          <t>why_compared</t>
        </is>
      </c>
      <c r="H2" s="118" t="inlineStr">
        <is>
          <t>confidence</t>
        </is>
      </c>
      <c r="I2" s="118" t="inlineStr">
        <is>
          <t>pairing_source_title</t>
        </is>
      </c>
      <c r="J2" s="118" t="inlineStr">
        <is>
          <t>pairing_source_url</t>
        </is>
      </c>
      <c r="K2" s="118" t="inlineStr">
        <is>
          <t>coordinate_source_title</t>
        </is>
      </c>
      <c r="L2" s="118" t="inlineStr">
        <is>
          <t>coordinate_source_url</t>
        </is>
      </c>
      <c r="M2" s="118" t="inlineStr">
        <is>
          <t>notes</t>
        </is>
      </c>
    </row>
    <row r="3">
      <c r="A3" s="119" t="inlineStr">
        <is>
          <t>rio-tinto-es</t>
        </is>
      </c>
      <c r="B3" s="119" t="inlineStr">
        <is>
          <t>Mars</t>
        </is>
      </c>
      <c r="C3" s="120" t="inlineStr">
        <is>
          <t>Meridiani Planum – Eagle crater (Opportunity landing site)</t>
        </is>
      </c>
      <c r="D3" s="119" t="n">
        <v>-1.95</v>
      </c>
      <c r="E3" s="119" t="n">
        <v>-5.53</v>
      </c>
      <c r="F3" s="119" t="n">
        <v>300</v>
      </c>
      <c r="G3" s="120" t="inlineStr">
        <is>
          <t>Rio Tinto's acidic, iron-sulfate waters precipitate jarosite and hematite. Opportunity found the same pairing in the sulfate-rich outcrops and hematite 'blueberries' at Meridiani Planum.</t>
        </is>
      </c>
      <c r="H3" s="119" t="inlineStr">
        <is>
          <t>high</t>
        </is>
      </c>
      <c r="I3" s="120" t="inlineStr">
        <is>
          <t>Fernández-Remolar et al. 2005, The Rio Tinto Basin, Spain: Mineralogy, Sedimentary Geobiology, and Implications for Interpretation of Outcrop Rocks at Meridiani Planum, Mars (EPSL 240) – NTRS</t>
        </is>
      </c>
      <c r="J3" s="120" t="inlineStr">
        <is>
          <t>https://ntrs.nasa.gov/citations/20080026258</t>
        </is>
      </c>
      <c r="K3" s="120" t="inlineStr">
        <is>
          <t>Eagle (crater) – Wikipedia</t>
        </is>
      </c>
      <c r="L3" s="120" t="inlineStr">
        <is>
          <t>https://en.wikipedia.org/wiki/Eagle_(crater)</t>
        </is>
      </c>
      <c r="M3" s="120" t="inlineStr">
        <is>
          <t>Wikipedia gives 1.95°S 354.47°E; 354.47−360 = −5.53.</t>
        </is>
      </c>
    </row>
    <row r="4">
      <c r="A4" s="119" t="inlineStr">
        <is>
          <t>atacama-yungay-cl</t>
        </is>
      </c>
      <c r="B4" s="119" t="inlineStr">
        <is>
          <t>Mars</t>
        </is>
      </c>
      <c r="C4" s="120" t="inlineStr">
        <is>
          <t>Chryse Planitia – Viking 1 lander site</t>
        </is>
      </c>
      <c r="D4" s="119" t="n">
        <v>22.697</v>
      </c>
      <c r="E4" s="119" t="n">
        <v>-47.95</v>
      </c>
      <c r="F4" s="119" t="n">
        <v>300</v>
      </c>
      <c r="G4" s="120" t="inlineStr">
        <is>
          <t>In 2003, McKay and Navarro-González's team repeated the Viking life-detection experiments in Yungay soils. They got Viking-like null results, with trace organics broken down by non-biological oxidants. Yungay soils also contain perchlorate.</t>
        </is>
      </c>
      <c r="H4" s="119" t="inlineStr">
        <is>
          <t>high</t>
        </is>
      </c>
      <c r="I4" s="120" t="inlineStr">
        <is>
          <t>Mars-like Atacama Desert Could Explain Viking No-Life Results – Mars Daily (on Navarro-González et al. 2003, Science)</t>
        </is>
      </c>
      <c r="J4" s="120" t="inlineStr">
        <is>
          <t>https://www.marsdaily.com/reports/MarsLike_Atacama_Desert_Could_Explain_Viking_No_Life_Results.html</t>
        </is>
      </c>
      <c r="K4" s="120" t="inlineStr">
        <is>
          <t>Viking 1 – Wikipedia</t>
        </is>
      </c>
      <c r="L4" s="120" t="inlineStr">
        <is>
          <t>https://en.wikipedia.org/wiki/Viking_1</t>
        </is>
      </c>
      <c r="M4" s="120" t="inlineStr">
        <is>
          <t>Planetocentric 22.697°N 312.05°E (312.05−360 = −47.95). Wikipedia also gives planetographic 22.480°N 47.967°W. I chose Viking over Phoenix because the Yungay study replicated Viking directly; Phoenix is the alternative for perchlorate. Viking 2 (Utopia Planitia) would serve equally well.</t>
        </is>
      </c>
    </row>
    <row r="5">
      <c r="A5" s="119" t="inlineStr">
        <is>
          <t>dallol-et</t>
        </is>
      </c>
      <c r="B5" s="119" t="inlineStr">
        <is>
          <t>Mars</t>
        </is>
      </c>
      <c r="C5" s="120" t="inlineStr">
        <is>
          <t>Gale crater – Vera Rubin ridge (Curiosity)</t>
        </is>
      </c>
      <c r="D5" s="119" t="n">
        <v>-5.4</v>
      </c>
      <c r="E5" s="119" t="n">
        <v>137.8</v>
      </c>
      <c r="F5" s="119" t="n">
        <v>160</v>
      </c>
      <c r="G5" s="120" t="inlineStr">
        <is>
          <t>Dallol's hyper-acidic, chloride- and iron-rich fluids precipitate jarosite and akaganeite together. Curiosity's CheMin found that rare pairing in Vera Rubin ridge mudstones, attributed to very acidic (pH ~1.4–2), saline diagenetic fluids.</t>
        </is>
      </c>
      <c r="H5" s="119" t="inlineStr">
        <is>
          <t>medium</t>
        </is>
      </c>
      <c r="I5" s="120" t="inlineStr">
        <is>
          <t>Kotopoulou et al. 2019, A Polyextreme Hydrothermal System Controlled by Iron: The Case of Dallol at the Afar Triangle (ACS Earth Space Chem.) – full text</t>
        </is>
      </c>
      <c r="J5" s="120" t="inlineStr">
        <is>
          <t>https://digibug.ugr.es/bitstream/handle/10481/59480/acsearthspacechem.8b00141.pdf?sequence=1</t>
        </is>
      </c>
      <c r="K5" s="120" t="inlineStr">
        <is>
          <t>Gale (crater) – Wikipedia</t>
        </is>
      </c>
      <c r="L5" s="120" t="inlineStr">
        <is>
          <t>https://en.wikipedia.org/wiki/Gale_(crater)</t>
        </is>
      </c>
      <c r="M5" s="120" t="inlineStr">
        <is>
          <t>Gale crater centre (5.4°S 137.8°E). Bradbury Landing is at 4.5°S 137.4°E. No sourced point coordinate for Vera Rubin ridge was found. Kotopoulou et al. 2019 and Cavalazzi et al. 2019 call Dallol a Mars analogue but name no specific Mars locality, so this pairing is inferred from the matching minerals. Meridiani Planum (jarosite) is a plausible alternative.</t>
        </is>
      </c>
    </row>
    <row r="6">
      <c r="A6" s="119" t="inlineStr">
        <is>
          <t>mcmurdo-dry-valleys-aq</t>
        </is>
      </c>
      <c r="B6" s="119" t="inlineStr">
        <is>
          <t>Mars</t>
        </is>
      </c>
      <c r="C6" s="120" t="inlineStr">
        <is>
          <t>Vastitas Borealis – 'Green Valley', Phoenix lander site</t>
        </is>
      </c>
      <c r="D6" s="119" t="n">
        <v>68.2188</v>
      </c>
      <c r="E6" s="119" t="n">
        <v>-125.7492</v>
      </c>
      <c r="F6" s="119" t="n">
        <v>100</v>
      </c>
      <c r="G6" s="120" t="inlineStr">
        <is>
          <t>Like the Phoenix site, the high-elevation Dry Valleys (e.g. University Valley) have ice-cemented ground beneath dry permafrost. Heldmann et al. call them the closest Earth analogue for martian ground ice.</t>
        </is>
      </c>
      <c r="H6" s="119" t="inlineStr">
        <is>
          <t>high</t>
        </is>
      </c>
      <c r="I6" s="120" t="inlineStr">
        <is>
          <t>Heldmann et al., Mars: Periglacial Morphology and Implications for Future Landing Sites – NTRS</t>
        </is>
      </c>
      <c r="J6" s="120" t="inlineStr">
        <is>
          <t>https://ntrs.nasa.gov/citations/20150023012</t>
        </is>
      </c>
      <c r="K6" s="120" t="inlineStr">
        <is>
          <t>Phoenix (spacecraft) – Wikipedia</t>
        </is>
      </c>
      <c r="L6" s="120" t="inlineStr">
        <is>
          <t>https://en.wikipedia.org/wiki/Phoenix_(spacecraft)</t>
        </is>
      </c>
      <c r="M6" s="120" t="inlineStr">
        <is>
          <t>Wikipedia infobox: 68.2188°N 125.7492°W (= 234.25°E).</t>
        </is>
      </c>
    </row>
    <row r="7">
      <c r="A7" s="119" t="inlineStr">
        <is>
          <t>haughton-crater-ca</t>
        </is>
      </c>
      <c r="B7" s="119" t="inlineStr">
        <is>
          <t>Mars</t>
        </is>
      </c>
      <c r="C7" s="120" t="inlineStr">
        <is>
          <t>Ius Chasma tributary valleys (western Valles Marineris)</t>
        </is>
      </c>
      <c r="D7" s="119" t="n">
        <v>-8.300000000000001</v>
      </c>
      <c r="E7" s="119" t="n">
        <v>-84.59999999999999</v>
      </c>
      <c r="F7" s="119" t="n">
        <v>200</v>
      </c>
      <c r="G7" s="120" t="inlineStr">
        <is>
          <t>Devon Island's canyons near Haughton have been described as morphologic counterparts of the broad, winding V-shaped tributary valleys of Ius Chasma in western Valles Marineris.</t>
        </is>
      </c>
      <c r="H7" s="119" t="inlineStr">
        <is>
          <t>medium</t>
        </is>
      </c>
      <c r="I7" s="120" t="inlineStr">
        <is>
          <t>Haughton Crater (Lakdawalla, The Planetary Society)</t>
        </is>
      </c>
      <c r="J7" s="120" t="inlineStr">
        <is>
          <t>https://www.planetary.org/articles/haughton_crater</t>
        </is>
      </c>
      <c r="K7" s="120" t="inlineStr">
        <is>
          <t>PIA09371: Ius Chasma Tributary Valleys and Adjacent Plains – NASA/JPL (PDS Rings mirror)</t>
        </is>
      </c>
      <c r="L7" s="120" t="inlineStr">
        <is>
          <t>https://pds-rings.seti.org/press_releases/pages/PIA09xxx/PIA09371.html</t>
        </is>
      </c>
      <c r="M7" s="120" t="inlineStr">
        <is>
          <t>Centre of HiRISE image PIA09371 of the Ius Chasma tributaries: −8.3°, 275.4°E (275.4−360 = −84.6). Ius Chasma as a whole is at 7°S 85.8°W (Wikipedia).</t>
        </is>
      </c>
    </row>
    <row r="8">
      <c r="A8" s="119" t="inlineStr">
        <is>
          <t>iceland-volcanic-fields-is</t>
        </is>
      </c>
      <c r="B8" s="119" t="inlineStr">
        <is>
          <t>Mars</t>
        </is>
      </c>
      <c r="C8" s="120" t="inlineStr">
        <is>
          <t>Central Elysium Planitia – lava-flooded crater (young flood basalts)</t>
        </is>
      </c>
      <c r="D8" s="119" t="n">
        <v>-1</v>
      </c>
      <c r="E8" s="119" t="n">
        <v>-160</v>
      </c>
      <c r="F8" s="119" t="n">
        <v>300</v>
      </c>
      <c r="G8" s="120" t="inlineStr">
        <is>
          <t>The 2014–2015 Holuhraun fissure eruption is used as an analogue for young fissure-fed flood lavas in Elysium Planitia. Both share rubbly and inflated flows, polygonal terrain and extensional fissures.</t>
        </is>
      </c>
      <c r="H8" s="119" t="inlineStr">
        <is>
          <t>high</t>
        </is>
      </c>
      <c r="I8" s="120" t="inlineStr">
        <is>
          <t>Voigt et al. 2025, The 2014–2015 Holuhraun lava flow-field in Iceland as a planetary analog for young volcanic terrains in Elysium Planitia, Mars (PSJ 6:81) – USGS Pubs</t>
        </is>
      </c>
      <c r="J8" s="120" t="inlineStr">
        <is>
          <t>https://pubs.usgs.gov/publication/70275623</t>
        </is>
      </c>
      <c r="K8" s="120" t="inlineStr">
        <is>
          <t>Flood Basalts on Mars and Iceland – NASA Earth Observatory</t>
        </is>
      </c>
      <c r="L8" s="120" t="inlineStr">
        <is>
          <t>https://science.nasa.gov/earth/earth-observatory/flood-basalts-on-mars-and-iceland-92858/</t>
        </is>
      </c>
      <c r="M8" s="120" t="inlineStr">
        <is>
          <t>NASA Earth Observatory: the crater is 'centered at 1°S, 160°W' (west → −160 east-positive). Alternative representative point: Athabasca Valles flood lava, 8.6°N 205.0°W = 155.0°E (Wikipedia), where Icelandic rootless-cone comparisons (Mývatn) are also made.</t>
        </is>
      </c>
    </row>
    <row r="9">
      <c r="A9" s="119" t="inlineStr">
        <is>
          <t>pilbara-strelley-pool-au</t>
        </is>
      </c>
      <c r="B9" s="119" t="inlineStr">
        <is>
          <t>Mars</t>
        </is>
      </c>
      <c r="C9" s="120" t="inlineStr">
        <is>
          <t>Jezero crater (delta–lake system, Perseverance)</t>
        </is>
      </c>
      <c r="D9" s="119" t="n">
        <v>18.38</v>
      </c>
      <c r="E9" s="119" t="n">
        <v>77.58</v>
      </c>
      <c r="F9" s="119" t="n">
        <v>60</v>
      </c>
      <c r="G9" s="120" t="inlineStr">
        <is>
          <t>NASA and partner teams studied the 3.35 Ga Strelley Pool stromatolites in the Pilbara to learn how to recognise ancient biosignatures in the lake and delta deposits Perseverance is exploring in Jezero crater.</t>
        </is>
      </c>
      <c r="H9" s="119" t="inlineStr">
        <is>
          <t>high</t>
        </is>
      </c>
      <c r="I9" s="120" t="inlineStr">
        <is>
          <t>NASA Partners Study Ancient Life in Australia to Inform Mars Search – NASA JPL</t>
        </is>
      </c>
      <c r="J9" s="120" t="inlineStr">
        <is>
          <t>https://www.jpl.nasa.gov/news/nasa-partners-study-ancient-life-in-australia-to-inform-mars-search/</t>
        </is>
      </c>
      <c r="K9" s="120" t="inlineStr">
        <is>
          <t>Jezero (crater) – Wikipedia</t>
        </is>
      </c>
      <c r="L9" s="120" t="inlineStr">
        <is>
          <t>https://en.wikipedia.org/wiki/Jezero_(crater)</t>
        </is>
      </c>
      <c r="M9" s="120" t="inlineStr">
        <is>
          <t>18°23′N 77°35′E (Wikipedia).</t>
        </is>
      </c>
    </row>
    <row r="10">
      <c r="A10" s="119" t="inlineStr">
        <is>
          <t>shark-bay-hamelin-pool-au</t>
        </is>
      </c>
      <c r="B10" s="119" t="inlineStr">
        <is>
          <t>Mars</t>
        </is>
      </c>
      <c r="C10" s="120" t="inlineStr">
        <is>
          <t>Jezero crater – western delta front and marginal carbonates ('bathtub ring')</t>
        </is>
      </c>
      <c r="D10" s="119" t="n">
        <v>18.4446</v>
      </c>
      <c r="E10" s="119" t="n">
        <v>77.4509</v>
      </c>
      <c r="F10" s="119" t="n">
        <v>20</v>
      </c>
      <c r="G10" s="120" t="inlineStr">
        <is>
          <t>Hamelin Pool's living stromatolites form along a shoreline. Jezero's carbonates line its ancient lakeshore in a 'bathtub ring' that NASA flags as a prime spot to look for stromatolite-like structures.</t>
        </is>
      </c>
      <c r="H10" s="119" t="inlineStr">
        <is>
          <t>low</t>
        </is>
      </c>
      <c r="I10" s="120" t="inlineStr">
        <is>
          <t>NASA's Mars 2020 Will Hunt for Microscopic Fossils – NASA</t>
        </is>
      </c>
      <c r="J10" s="120" t="inlineStr">
        <is>
          <t>https://www.nasa.gov/solar-system/nasas-mars-2020-will-hunt-for-microscopic-fossils/</t>
        </is>
      </c>
      <c r="K10" s="120" t="inlineStr">
        <is>
          <t>Perseverance (rover) – Wikipedia</t>
        </is>
      </c>
      <c r="L10" s="120" t="inlineStr">
        <is>
          <t>https://en.wikipedia.org/wiki/Perseverance_(rover)</t>
        </is>
      </c>
      <c r="M10" s="120" t="inlineStr">
        <is>
          <t>Perseverance touchdown point 18.4446°N 77.4509°E (Wikipedia), just east of the western delta front. No sourced point coordinate for the marginal carbonate unit was found. No source found names Shark Bay and Jezero together, so this pairing is inferred.</t>
        </is>
      </c>
    </row>
    <row r="11">
      <c r="A11" s="119" t="inlineStr">
        <is>
          <t>arkaroola-au</t>
        </is>
      </c>
      <c r="B11" s="119" t="inlineStr">
        <is>
          <t>Mars</t>
        </is>
      </c>
      <c r="C11" s="120" t="inlineStr">
        <is>
          <t>Gusev crater – Home Plate, Columbia Hills (opaline silica)</t>
        </is>
      </c>
      <c r="D11" s="119" t="n">
        <v>-14.6</v>
      </c>
      <c r="E11" s="119" t="n">
        <v>175.5</v>
      </c>
      <c r="F11" s="119" t="n">
        <v>10</v>
      </c>
      <c r="G11" s="120" t="inlineStr">
        <is>
          <t>Arkaroola's Mount Painter / Mount Gee hydrothermal systems preserve silica–hematite deposits. Home Plate is Mars's best-known hydrothermal silica site: nearly pure opaline silica, interpreted as an extinct fumarole or hot-spring deposit.</t>
        </is>
      </c>
      <c r="H11" s="119" t="inlineStr">
        <is>
          <t>low</t>
        </is>
      </c>
      <c r="I11" s="120" t="inlineStr">
        <is>
          <t>Thomas et al. 2012, The Flinders Ranges and surrounds, South Australia: a window on astrobiology and planetary geology (UNSW ACA)</t>
        </is>
      </c>
      <c r="J11" s="120" t="inlineStr">
        <is>
          <t>https://unsw.edu.au/content/dam/pdfs/science/aca/research-reports/2022-01-aca-research/2022-01-Thomas%2c%20Clarke%2c%20Gostin%2c%20Williams%20and%20Walter%20%202012.pdf</t>
        </is>
      </c>
      <c r="K11" s="120" t="inlineStr">
        <is>
          <t>Home Plate (Mars) – Wikipedia</t>
        </is>
      </c>
      <c r="L11" s="120" t="inlineStr">
        <is>
          <t>https://en.wikipedia.org/wiki/Home_Plate_(Mars)</t>
        </is>
      </c>
      <c r="M11" s="120" t="inlineStr">
        <is>
          <t>14°36′S 175°30′E (Wikipedia). The Arkaroola literature found calls the area a Mars analogue only in general terms. Thomas et al. 2012 cites Nili Patera (hydrothermal silica) only in a reference title. This pairing is therefore inferred; Nili Patera is the main alternative.</t>
        </is>
      </c>
    </row>
    <row r="12">
      <c r="A12" s="119" t="inlineStr">
        <is>
          <t>lanzarote-es</t>
        </is>
      </c>
      <c r="B12" s="119" t="inlineStr">
        <is>
          <t>Mars</t>
        </is>
      </c>
      <c r="C12" s="120" t="inlineStr">
        <is>
          <t>Nephentes–Amenthes cone field (hydrovolcanic tuff rings/cones, southern Utopia margin)</t>
        </is>
      </c>
      <c r="D12" s="119" t="n">
        <v>16.62</v>
      </c>
      <c r="E12" s="119" t="n">
        <v>103.33</v>
      </c>
      <c r="F12" s="119" t="n">
        <v>100</v>
      </c>
      <c r="G12" s="120" t="inlineStr">
        <is>
          <t>Brož &amp; Hauber (2013) compared the Nephentes–Amenthes cones with Lanzarote's Caldera Blanca tuff ring. They found 'obvious' morphological and topographic similarities and used them to argue for phreatomagmatic eruptions on Mars.</t>
        </is>
      </c>
      <c r="H12" s="119" t="inlineStr">
        <is>
          <t>medium</t>
        </is>
      </c>
      <c r="I12" s="120" t="inlineStr">
        <is>
          <t>Brož &amp; Hauber 2013 (JGR Planets) – Table 3.2 and Fig. 3.10 compare with Caldera Blanca, Lanzarote</t>
        </is>
      </c>
      <c r="J12" s="120" t="inlineStr">
        <is>
          <t>https://www.ig.cas.cz/wp-content/uploads/2018/10/broz_and_hauber_2013_phreatomagmatic.pdf</t>
        </is>
      </c>
      <c r="K12" s="120" t="inlineStr">
        <is>
          <t>Brož &amp; Hauber 2013, Hydrovolcanic tuff rings and cones as indicators for phreatomagmatic explosive eruptions on Mars (JGR Planets 118)</t>
        </is>
      </c>
      <c r="L12" s="120" t="inlineStr">
        <is>
          <t>https://www.ig.cas.cz/wp-content/uploads/2018/10/broz_and_hauber_2013_phreatomagmatic.pdf</t>
        </is>
      </c>
      <c r="M12" s="120" t="inlineStr">
        <is>
          <t>Example cone 'at 16.62°N/103.33°E' quoted in Brož &amp; Hauber 2013 (east longitude). The Lanzarote Geopark's 'Lanzarote Marte en la Tierra' booklet cites this work for Caldera Blanca.</t>
        </is>
      </c>
    </row>
    <row r="13">
      <c r="A13" s="119" t="inlineStr">
        <is>
          <t>bockfjord-svalbard-sj</t>
        </is>
      </c>
      <c r="B13" s="119" t="inlineStr">
        <is>
          <t>Mars</t>
        </is>
      </c>
      <c r="C13" s="120" t="inlineStr">
        <is>
          <t>Gusev crater – Comanche carbonate outcrop, Columbia Hills</t>
        </is>
      </c>
      <c r="D13" s="119" t="n">
        <v>-14.6</v>
      </c>
      <c r="E13" s="119" t="n">
        <v>175.5</v>
      </c>
      <c r="F13" s="119" t="n">
        <v>10</v>
      </c>
      <c r="G13" s="120" t="inlineStr">
        <is>
          <t>Amundsen et al. (2011) state that the carbonate cements in Sverrefjell breccias are an analogue to the Comanche carbonates in Gusev crater. Comanche holds about 25 wt% Mg-Fe carbonate, which Spirit found in the Columbia Hills.</t>
        </is>
      </c>
      <c r="H13" s="119" t="inlineStr">
        <is>
          <t>medium</t>
        </is>
      </c>
      <c r="I13" s="120" t="inlineStr">
        <is>
          <t>Amundsen et al. 2011, Cryogenic Origin for Mars Analog Carbonates in the Bockfjord Volcanic Complex Svalbard (LPSC 42) – NTRS</t>
        </is>
      </c>
      <c r="J13" s="120" t="inlineStr">
        <is>
          <t>https://ntrs.nasa.gov/citations/20110008112</t>
        </is>
      </c>
      <c r="K13" s="120" t="inlineStr">
        <is>
          <t>Home Plate (Mars) – Wikipedia</t>
        </is>
      </c>
      <c r="L13" s="120" t="inlineStr">
        <is>
          <t>https://en.wikipedia.org/wiki/Home_Plate_(Mars)</t>
        </is>
      </c>
      <c r="M13" s="120" t="inlineStr">
        <is>
          <t>No published point coordinate for Comanche was found. This is the Home Plate / Columbia Hills reference point (14.6°S 175.5°E). Comanche lies in the Columbia Hills in the same southward view from Husband Hill (PIA17760), within roughly a kilometre (not verified).</t>
        </is>
      </c>
    </row>
    <row r="14">
      <c r="A14" s="119" t="inlineStr">
        <is>
          <t>mauna-kea-us</t>
        </is>
      </c>
      <c r="B14" s="119" t="inlineStr">
        <is>
          <t>Moon</t>
        </is>
      </c>
      <c r="C14" s="120" t="inlineStr">
        <is>
          <t>Lunar south pole – Shackleton crater (permanently shadowed ISRU target)</t>
        </is>
      </c>
      <c r="D14" s="119" t="n">
        <v>-89.67</v>
      </c>
      <c r="E14" s="119" t="n">
        <v>129.78</v>
      </c>
      <c r="F14" s="119" t="n">
        <v>300</v>
      </c>
      <c r="G14" s="120" t="inlineStr">
        <is>
          <t>NASA's 2010 RESOLVE field demonstration on Mauna Kea tested volatile prospecting and extraction in lunar-like volcanic tephra. The system was designed to go to permanently shadowed craters at the lunar poles, and Shackleton is the classic example.</t>
        </is>
      </c>
      <c r="H14" s="119" t="inlineStr">
        <is>
          <t>medium</t>
        </is>
      </c>
      <c r="I14" s="120" t="inlineStr">
        <is>
          <t>Captain et al., RESOLVE's Field Demonstration on Mauna Kea, Hawaii 2010 – NTRS</t>
        </is>
      </c>
      <c r="J14" s="120" t="inlineStr">
        <is>
          <t>https://ntrs.nasa.gov/citations/20100033667</t>
        </is>
      </c>
      <c r="K14" s="120" t="inlineStr">
        <is>
          <t>Shackleton (crater) – Wikipedia</t>
        </is>
      </c>
      <c r="L14" s="120" t="inlineStr">
        <is>
          <t>https://en.wikipedia.org/wiki/Shackleton_(crater)</t>
        </is>
      </c>
      <c r="M14" s="120" t="inlineStr">
        <is>
          <t>89°40′S 129°47′E (Wikipedia). The RESOLVE abstract names polar permanently shadowed craters generally, not Shackleton specifically.</t>
        </is>
      </c>
    </row>
    <row r="15">
      <c r="A15" s="119" t="inlineStr">
        <is>
          <t>boulby-mine-gb</t>
        </is>
      </c>
      <c r="B15" s="119" t="inlineStr">
        <is>
          <t>Mars</t>
        </is>
      </c>
      <c r="C15" s="120" t="inlineStr">
        <is>
          <t>Terra Sirenum – chloride salt deposits in a highland channel</t>
        </is>
      </c>
      <c r="D15" s="119" t="n">
        <v>-33.421</v>
      </c>
      <c r="E15" s="119" t="n">
        <v>-154.519</v>
      </c>
      <c r="F15" s="119" t="n">
        <v>300</v>
      </c>
      <c r="G15" s="120" t="inlineStr">
        <is>
          <t>Boulby's buried Permian evaporites and brine seeps are used as a testbed because they parallel the chloride-bearing deposits mapped across the martian southern highlands. Terra Sirenum hosts some of the best-imaged of these deposits.</t>
        </is>
      </c>
      <c r="H15" s="119" t="inlineStr">
        <is>
          <t>medium</t>
        </is>
      </c>
      <c r="I15" s="120" t="inlineStr">
        <is>
          <t>Boulby Mine expedition – SETI Institute ('parallels to the chloride-bearing deposits … on Mars')</t>
        </is>
      </c>
      <c r="J15" s="120" t="inlineStr">
        <is>
          <t>https://www.seti.org/node/624</t>
        </is>
      </c>
      <c r="K15" s="120" t="inlineStr">
        <is>
          <t>Chloride Salt Deposits within a Channel in Terra Sirenum – HiRISE PSP_009318_1465</t>
        </is>
      </c>
      <c r="L15" s="120" t="inlineStr">
        <is>
          <t>https://www.uahirise.org/PSP_009318_1465</t>
        </is>
      </c>
      <c r="M15" s="120" t="inlineStr">
        <is>
          <t>HiRISE PSP_009318_1465 centre: −33.421°, 205.481°E (205.481−360 = −154.519). Another Terra Sirenum chloride site (PIA10248) is at about 38.8°S 221°E (−139°).</t>
        </is>
      </c>
    </row>
    <row r="16">
      <c r="A16" s="119" t="inlineStr">
        <is>
          <t>lost-city-vent-field</t>
        </is>
      </c>
      <c r="B16" s="119" t="inlineStr">
        <is>
          <t>Enceladus</t>
        </is>
      </c>
      <c r="C16" s="120" t="inlineStr">
        <is>
          <t>South polar terrain – Baghdad Sulcus ('tiger stripe')</t>
        </is>
      </c>
      <c r="D16" s="119" t="n">
        <v>-86.91</v>
      </c>
      <c r="E16" s="119" t="n">
        <v>129.46</v>
      </c>
      <c r="F16" s="119" t="n">
        <v>500</v>
      </c>
      <c r="G16" s="120" t="inlineStr">
        <is>
          <t>Glein (SwRI) compared Enceladus's alkaline plumes, which erupt from the south polar tiger stripes, with the serpentinization-driven, hydrogen- and methane-rich vents of Lost City.</t>
        </is>
      </c>
      <c r="H16" s="119" t="inlineStr">
        <is>
          <t>medium</t>
        </is>
      </c>
      <c r="I16" s="120" t="inlineStr">
        <is>
          <t>Saturn Moon Enceladus' Plumes May Resemble Earth's 'Lost City' – Space.com</t>
        </is>
      </c>
      <c r="J16" s="120" t="inlineStr">
        <is>
          <t>https://www.space.com/33294-enceladus-may-resemble-earth-lost-city.html</t>
        </is>
      </c>
      <c r="K16" s="120" t="inlineStr">
        <is>
          <t>Baghdad Sulcus – USGS Gazetteer of Planetary Nomenclature</t>
        </is>
      </c>
      <c r="L16" s="120" t="inlineStr">
        <is>
          <t>https://planetarynames.wr.usgs.gov/Feature/14248</t>
        </is>
      </c>
      <c r="M16" s="120" t="inlineStr">
        <is>
          <t>USGS Gazetteer centre −86.91°, 230.54°W (planetographic, +West). East-positive: 360−230.54 = 129.46. The gazetteer's listed north/south bounds (−68.46 to −71.25) contradict this centre, so treat it as approximate. The map view should be centred near the south pole.</t>
        </is>
      </c>
    </row>
    <row r="17">
      <c r="A17" s="119" t="inlineStr">
        <is>
          <t>lake-vostok-aq</t>
        </is>
      </c>
      <c r="B17" s="119" t="inlineStr">
        <is>
          <t>Europa</t>
        </is>
      </c>
      <c r="C17" s="120" t="inlineStr">
        <is>
          <t>Thera Macula (chaos terrain above a proposed perched subsurface lake)</t>
        </is>
      </c>
      <c r="D17" s="119" t="n">
        <v>-46.7</v>
      </c>
      <c r="E17" s="119" t="n">
        <v>178.8</v>
      </c>
      <c r="F17" s="119" t="n">
        <v>150</v>
      </c>
      <c r="G17" s="120" t="inlineStr">
        <is>
          <t>Lake Vostok is liquid water sealed under ~3–4 km of ice, which NASA's Kevin Hand calls the best Earth analogue for Europa. Schmidt et al. (2011) proposed a Great-Lakes-sized body of liquid water about 3 km beneath Thera Macula.</t>
        </is>
      </c>
      <c r="H17" s="119" t="inlineStr">
        <is>
          <t>medium</t>
        </is>
      </c>
      <c r="I17" s="120" t="inlineStr">
        <is>
          <t>Antarctica's Lake Vostok is Test Case for Exploring Icy Jupiter Moon – Space.com</t>
        </is>
      </c>
      <c r="J17" s="120" t="inlineStr">
        <is>
          <t>https://www.space.com/14552-antarctica-lake-vostok-europa-life-jupiter.html</t>
        </is>
      </c>
      <c r="K17" s="120" t="inlineStr">
        <is>
          <t>Thera Macula – USGS Gazetteer of Planetary Nomenclature</t>
        </is>
      </c>
      <c r="L17" s="120" t="inlineStr">
        <is>
          <t>https://planetarynames.wr.usgs.gov/Feature/5967</t>
        </is>
      </c>
      <c r="M17" s="120" t="inlineStr">
        <is>
          <t>USGS Gazetteer −46.70°, 181.20°W (+West). East-positive: −181.2 → +178.8. Alternative: Conamara Chaos, 9.70°N 272.70°W → 87.3°E (Gazetteer #1282).</t>
        </is>
      </c>
    </row>
    <row r="18">
      <c r="A18" s="119" t="inlineStr">
        <is>
          <t>lava-beds-us</t>
        </is>
      </c>
      <c r="B18" s="119" t="inlineStr">
        <is>
          <t>Moon</t>
        </is>
      </c>
      <c r="C18" s="120" t="inlineStr">
        <is>
          <t>Marius Hills hole (lava-tube skylight), Oceanus Procellarum</t>
        </is>
      </c>
      <c r="D18" s="119" t="n">
        <v>14.2</v>
      </c>
      <c r="E18" s="119" t="n">
        <v>-56.7</v>
      </c>
      <c r="F18" s="119" t="n">
        <v>200</v>
      </c>
      <c r="G18" s="120" t="inlineStr">
        <is>
          <t>NASA teams have tested lava-tube exploration methods in Lava Beds' caves for the Moon. The Marius Hills hole is the first-identified lunar skylight into a probable lava tube: about 65 m wide and 80–88 m deep.</t>
        </is>
      </c>
      <c r="H18" s="119" t="inlineStr">
        <is>
          <t>medium</t>
        </is>
      </c>
      <c r="I18" s="120" t="inlineStr">
        <is>
          <t>Are Moon Caves Safe for Astronauts? Earth's Lava Tubes Can Help Us Find Out – Space.com</t>
        </is>
      </c>
      <c r="J18" s="120" t="inlineStr">
        <is>
          <t>https://space.com/41921-exploring-lava-tubes-for-moon-landings.html</t>
        </is>
      </c>
      <c r="K18" s="120" t="inlineStr">
        <is>
          <t>Marius Hills hole (Lakdawalla, The Planetary Society, 2009)</t>
        </is>
      </c>
      <c r="L18" s="120" t="inlineStr">
        <is>
          <t>https://www.planetary.org/articles/2173</t>
        </is>
      </c>
      <c r="M18" s="120" t="inlineStr">
        <is>
          <t>303.3°E, 14.2°N (Haruyama et al. 2009 via The Planetary Society); 303.3−360 = −56.7. The sources compare Lava Beds with lunar lava tubes in general, not with Marius Hills specifically.</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D15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61" min="1" max="2"/>
    <col width="110" customWidth="1" style="61" min="3" max="3"/>
    <col width="8" customWidth="1" style="61" min="4" max="4"/>
  </cols>
  <sheetData>
    <row r="1" ht="15" customHeight="1" s="62">
      <c r="A1" s="65" t="inlineStr">
        <is>
          <t>Research log: what was checked, what still needs checking, and why each rating was proposed</t>
        </is>
      </c>
    </row>
    <row r="3" ht="15" customHeight="1" s="62">
      <c r="A3" s="74" t="inlineStr">
        <is>
          <t>site_id</t>
        </is>
      </c>
      <c r="B3" s="74" t="inlineStr">
        <is>
          <t>type</t>
        </is>
      </c>
      <c r="C3" s="74" t="inlineStr">
        <is>
          <t>detail</t>
        </is>
      </c>
      <c r="D3" s="74" t="inlineStr">
        <is>
          <t>done?</t>
        </is>
      </c>
    </row>
    <row r="4" ht="23.85" customHeight="1" s="62">
      <c r="A4" s="81" t="inlineStr">
        <is>
          <t>rio-tinto-es</t>
        </is>
      </c>
      <c r="B4" s="81" t="inlineStr">
        <is>
          <t>Rating rationale: hazard_rating</t>
        </is>
      </c>
      <c r="C4" s="113" t="inlineStr">
        <is>
          <t>2 Low: the main hazards are contact with pH ~2 water and old/active mine ground; manageable with basic precautions (gloves, eye protection, keeping out of mine areas).</t>
        </is>
      </c>
      <c r="D4" s="81" t="n"/>
    </row>
    <row r="5" ht="23.85" customHeight="1" s="62">
      <c r="A5" s="81" t="inlineStr">
        <is>
          <t>rio-tinto-es</t>
        </is>
      </c>
      <c r="B5" s="81" t="inlineStr">
        <is>
          <t>Rating rationale: access_level</t>
        </is>
      </c>
      <c r="C5" s="113" t="inlineStr">
        <is>
          <t>2 Easy: road access to the river and mining towns; public land open via designated access points under the protected-landscape decree; mine areas and restricted zones need permission.</t>
        </is>
      </c>
      <c r="D5" s="81" t="n"/>
    </row>
    <row r="6" ht="15" customHeight="1" s="62">
      <c r="A6" s="81" t="inlineStr">
        <is>
          <t>rio-tinto-es</t>
        </is>
      </c>
      <c r="B6" s="81" t="inlineStr">
        <is>
          <t>Open issue</t>
        </is>
      </c>
      <c r="C6" s="113" t="inlineStr">
        <is>
          <t>No opened source gives water temperature; temp_min_c/temp_max_c left null.</t>
        </is>
      </c>
      <c r="D6" s="81" t="n"/>
    </row>
    <row r="7" ht="23.85" customHeight="1" s="62">
      <c r="A7" s="81" t="inlineStr">
        <is>
          <t>rio-tinto-es</t>
        </is>
      </c>
      <c r="B7" s="81" t="inlineStr">
        <is>
          <t>Open issue</t>
        </is>
      </c>
      <c r="C7" s="113" t="inlineStr">
        <is>
          <t>pH range 2.0–2.5 is from Wikipedia only; the peer-reviewed source (r1) gives a mean of 2.3 and calls it constant. Replace with a primary measured range if one is found.</t>
        </is>
      </c>
      <c r="D7" s="81" t="n"/>
    </row>
    <row r="8" ht="23.85" customHeight="1" s="62">
      <c r="A8" s="81" t="inlineStr">
        <is>
          <t>rio-tinto-es</t>
        </is>
      </c>
      <c r="B8" s="81" t="inlineStr">
        <is>
          <t>Open issue</t>
        </is>
      </c>
      <c r="C8" s="113" t="inlineStr">
        <is>
          <t>Could not open the Fernández-Remolar et al. (2005) EPSL paper (10.1016/j.epsl.2005.09.010): doi.org and Crossref were rate-limited and the CSIC repository blocked access, so it is not cited.</t>
        </is>
      </c>
      <c r="D8" s="81" t="n"/>
    </row>
    <row r="9" ht="23.85" customHeight="1" s="62">
      <c r="A9" s="81" t="inlineStr">
        <is>
          <t>rio-tinto-es</t>
        </is>
      </c>
      <c r="B9" s="81" t="inlineStr">
        <is>
          <t>Open issue</t>
        </is>
      </c>
      <c r="C9" s="113" t="inlineStr">
        <is>
          <t>Europa as a secondary analogue is from Wikipedia, which flags the claim as needing a better source; drop it unless a peer-reviewed source is found.</t>
        </is>
      </c>
      <c r="D9" s="81" t="n"/>
    </row>
    <row r="10" ht="15" customHeight="1" s="62">
      <c r="A10" s="81" t="inlineStr">
        <is>
          <t>rio-tinto-es</t>
        </is>
      </c>
      <c r="B10" s="81" t="inlineStr">
        <is>
          <t>Open issue</t>
        </is>
      </c>
      <c r="C10" s="113" t="inlineStr">
        <is>
          <t>extent_km2 is the area of the Paisaje Protegido (169.57 km²), not the whole catchment.</t>
        </is>
      </c>
      <c r="D10" s="81" t="n"/>
    </row>
    <row r="11" ht="15" customHeight="1" s="62">
      <c r="A11" s="81" t="inlineStr">
        <is>
          <t>rio-tinto-es</t>
        </is>
      </c>
      <c r="B11" s="81" t="inlineStr">
        <is>
          <t>Open issue</t>
        </is>
      </c>
      <c r="C11" s="113" t="inlineStr">
        <is>
          <t>Coordinates are the river source (Peña de Hierro area); the river is 92–100 km long, so precision is set to approximately 10 km.</t>
        </is>
      </c>
      <c r="D11" s="81" t="n"/>
    </row>
    <row r="12" ht="15" customHeight="1" s="62">
      <c r="A12" s="81" t="inlineStr">
        <is>
          <t>rio-tinto-es</t>
        </is>
      </c>
      <c r="B12" s="81" t="inlineStr">
        <is>
          <t>Open issue</t>
        </is>
      </c>
      <c r="C12" s="113" t="inlineStr">
        <is>
          <t>Best season, transport and altitude not found in an opened source.</t>
        </is>
      </c>
      <c r="D12" s="81" t="n"/>
    </row>
    <row r="13" ht="15" customHeight="1" s="62">
      <c r="A13" s="81" t="inlineStr">
        <is>
          <t>rio-tinto-es</t>
        </is>
      </c>
      <c r="B13" s="81" t="inlineStr">
        <is>
          <t>Judgement-based fields</t>
        </is>
      </c>
      <c r="C13" s="113" t="inlineStr">
        <is>
          <t>coordinate_precision, sensitive_site, access_level, hazard_rating</t>
        </is>
      </c>
      <c r="D13" s="81" t="n"/>
    </row>
    <row r="14" ht="23.85" customHeight="1" s="62">
      <c r="A14" s="81" t="inlineStr">
        <is>
          <t>atacama-yungay-cl</t>
        </is>
      </c>
      <c r="B14" s="81" t="inlineStr">
        <is>
          <t>Rating rationale: hazard_rating</t>
        </is>
      </c>
      <c r="C14" s="113" t="inlineStr">
        <is>
          <t>Proposed 2 (Low): a hyperarid desert with heat, sun and dryness exposure. None of the opened sources describes a specific hazard, so this is judgement only.</t>
        </is>
      </c>
      <c r="D14" s="81" t="n"/>
    </row>
    <row r="15" ht="15" customHeight="1" s="62">
      <c r="A15" s="81" t="inlineStr">
        <is>
          <t>atacama-yungay-cl</t>
        </is>
      </c>
      <c r="B15" s="81" t="inlineStr">
        <is>
          <t>Rating rationale: access_level</t>
        </is>
      </c>
      <c r="C15" s="113" t="inlineStr">
        <is>
          <t>Proposed 2 (Easy): unconfirmed. No official access or permit source was found. The owner should check road access and land tenure.</t>
        </is>
      </c>
      <c r="D15" s="81" t="n"/>
    </row>
    <row r="16" ht="15" customHeight="1" s="62">
      <c r="A16" s="81" t="inlineStr">
        <is>
          <t>atacama-yungay-cl</t>
        </is>
      </c>
      <c r="B16" s="81" t="inlineStr">
        <is>
          <t>Open issue</t>
        </is>
      </c>
      <c r="C16" s="113" t="inlineStr">
        <is>
          <t>Altitude of the Yungay study area was not found in any opened source.</t>
        </is>
      </c>
      <c r="D16" s="81" t="n"/>
    </row>
    <row r="17" ht="23.85" customHeight="1" s="62">
      <c r="A17" s="81" t="inlineStr">
        <is>
          <t>atacama-yungay-cl</t>
        </is>
      </c>
      <c r="B17" s="81" t="inlineStr">
        <is>
          <t>Open issue</t>
        </is>
      </c>
      <c r="C17" s="113" t="inlineStr">
        <is>
          <t>No official access, land-status or permit source was found. land_status, permits_required, nearest_town, transport_notes and best_season are left empty.</t>
        </is>
      </c>
      <c r="D17" s="81" t="n"/>
    </row>
    <row r="18" ht="23.85" customHeight="1" s="62">
      <c r="A18" s="81" t="inlineStr">
        <is>
          <t>atacama-yungay-cl</t>
        </is>
      </c>
      <c r="B18" s="81" t="inlineStr">
        <is>
          <t>Open issue</t>
        </is>
      </c>
      <c r="C18" s="113" t="inlineStr">
        <is>
          <t>Annual rainfall specific to Yungay was not confirmed. r2 gives below 4 mm for the core Atacama generally, so it was not entered as a field.</t>
        </is>
      </c>
      <c r="D18" s="81" t="n"/>
    </row>
    <row r="19" ht="15" customHeight="1" s="62">
      <c r="A19" s="81" t="inlineStr">
        <is>
          <t>atacama-yungay-cl</t>
        </is>
      </c>
      <c r="B19" s="81" t="inlineStr">
        <is>
          <t>Open issue</t>
        </is>
      </c>
      <c r="C19" s="113" t="inlineStr">
        <is>
          <t>Perchlorate concentrations are in Table 2 of r2, which did not come through in the fetched text.</t>
        </is>
      </c>
      <c r="D19" s="81" t="n"/>
    </row>
    <row r="20" ht="15" customHeight="1" s="62">
      <c r="A20" s="81" t="inlineStr">
        <is>
          <t>atacama-yungay-cl</t>
        </is>
      </c>
      <c r="B20" s="81" t="inlineStr">
        <is>
          <t>Open issue</t>
        </is>
      </c>
      <c r="C20" s="113" t="inlineStr">
        <is>
          <t>The coordinates are a single dataset pin. Yungay studies span several sampling points, so precision is set to Approximately 10 km.</t>
        </is>
      </c>
      <c r="D20" s="81" t="n"/>
    </row>
    <row r="21" ht="15" customHeight="1" s="62">
      <c r="A21" s="81" t="inlineStr">
        <is>
          <t>atacama-yungay-cl</t>
        </is>
      </c>
      <c r="B21" s="81" t="inlineStr">
        <is>
          <t>Open issue</t>
        </is>
      </c>
      <c r="C21" s="113" t="inlineStr">
        <is>
          <t>The Arens et al. (2021) and Ewing et al. papers on Yungay soil geochemistry were not opened. They could add soil age and salt data.</t>
        </is>
      </c>
      <c r="D21" s="81" t="n"/>
    </row>
    <row r="22" ht="15" customHeight="1" s="62">
      <c r="A22" s="81" t="inlineStr">
        <is>
          <t>atacama-yungay-cl</t>
        </is>
      </c>
      <c r="B22" s="81" t="inlineStr">
        <is>
          <t>Judgement-based fields</t>
        </is>
      </c>
      <c r="C22" s="113" t="inlineStr">
        <is>
          <t>country_code, coordinate_precision, sensitive_site, hazard_rating, access_level</t>
        </is>
      </c>
      <c r="D22" s="81" t="n"/>
    </row>
    <row r="23" ht="23.85" customHeight="1" s="62">
      <c r="A23" s="81" t="inlineStr">
        <is>
          <t>dallol-et</t>
        </is>
      </c>
      <c r="B23" s="81" t="inlineStr">
        <is>
          <t>Rating rationale: hazard_rating</t>
        </is>
      </c>
      <c r="C23" s="113" t="inlineStr">
        <is>
          <t>Proposed 4 (High): boiling hyperacidic brines, toxic fumarole gases (CO2, H2S, SO2), extreme heat in a depression below sea level, and FCDO-flagged insecurity in Afar.</t>
        </is>
      </c>
      <c r="D23" s="81" t="n"/>
    </row>
    <row r="24" ht="23.85" customHeight="1" s="62">
      <c r="A24" s="81" t="inlineStr">
        <is>
          <t>dallol-et</t>
        </is>
      </c>
      <c r="B24" s="81" t="inlineStr">
        <is>
          <t>Rating rationale: access_level</t>
        </is>
      </c>
      <c r="C24" s="113" t="inlineStr">
        <is>
          <t>Proposed 4 (Expedition): remote site in Afar under FCDO 'all but essential travel' advice, with no foreign access to Afar airports at present. Visits run through tour operators. An escort or guide requirement was NOT confirmed in any opened source.</t>
        </is>
      </c>
      <c r="D24" s="81" t="n"/>
    </row>
    <row r="25" ht="23.85" customHeight="1" s="62">
      <c r="A25" s="81" t="inlineStr">
        <is>
          <t>dallol-et</t>
        </is>
      </c>
      <c r="B25" s="81" t="inlineStr">
        <is>
          <t>Open issue</t>
        </is>
      </c>
      <c r="C25" s="113" t="inlineStr">
        <is>
          <t>No reliable source was found for guide, armed escort or permit requirements to visit Dallol. The FCDO pages do not mention Dallol or the Danakil. permits_required, permit_authority and sampling_rules are left empty.</t>
        </is>
      </c>
      <c r="D25" s="81" t="n"/>
    </row>
    <row r="26" ht="23.85" customHeight="1" s="62">
      <c r="A26" s="81" t="inlineStr">
        <is>
          <t>dallol-et</t>
        </is>
      </c>
      <c r="B26" s="81" t="inlineStr">
        <is>
          <t>Open issue</t>
        </is>
      </c>
      <c r="C26" s="113" t="inlineStr">
        <is>
          <t>It is not confirmed whether Dallol lies within 20 km of the Eritrean border, which would put it in the FCDO 'against all travel' zone. The owner should check against a map.</t>
        </is>
      </c>
      <c r="D26" s="81" t="n"/>
    </row>
    <row r="27" ht="15" customHeight="1" s="62">
      <c r="A27" s="81" t="inlineStr">
        <is>
          <t>dallol-et</t>
        </is>
      </c>
      <c r="B27" s="81" t="inlineStr">
        <is>
          <t>Open issue</t>
        </is>
      </c>
      <c r="C27" s="113" t="inlineStr">
        <is>
          <t>ph_max of 2.5 comes from the nearby Black Lake within the Dallol area. Dome springs and pools alone range from pH 0.16 to -1.7.</t>
        </is>
      </c>
      <c r="D27" s="81" t="n"/>
    </row>
    <row r="28" ht="15" customHeight="1" s="62">
      <c r="A28" s="81" t="inlineStr">
        <is>
          <t>dallol-et</t>
        </is>
      </c>
      <c r="B28" s="81" t="inlineStr">
        <is>
          <t>Open issue</t>
        </is>
      </c>
      <c r="C28" s="113" t="inlineStr">
        <is>
          <t>temp_min_c of 32 °C is for distal pools on the dome, not the ambient minimum.</t>
        </is>
      </c>
      <c r="D28" s="81" t="n"/>
    </row>
    <row r="29" ht="23.85" customHeight="1" s="62">
      <c r="A29" s="81" t="inlineStr">
        <is>
          <t>dallol-et</t>
        </is>
      </c>
      <c r="B29" s="81" t="inlineStr">
        <is>
          <t>Open issue</t>
        </is>
      </c>
      <c r="C29" s="113" t="inlineStr">
        <is>
          <t>Altitude: Kotopoulou gives the dome at about 60 m below sea level and the depression at about 120 m below. The Wikipedia infobox gives -48 m as the highest point, which is inconsistent.</t>
        </is>
      </c>
      <c r="D29" s="81" t="n"/>
    </row>
    <row r="30" ht="23.85" customHeight="1" s="62">
      <c r="A30" s="81" t="inlineStr">
        <is>
          <t>dallol-et</t>
        </is>
      </c>
      <c r="B30" s="81" t="inlineStr">
        <is>
          <t>Open issue</t>
        </is>
      </c>
      <c r="C30" s="113" t="inlineStr">
        <is>
          <t>Some sources dispute whether there is life in the most extreme ponds (Gómez et al. May 2019 reported Nanohaloarchaea; Belilla et al. October 2019 reported none). The Gómez et al. paper was not opened.</t>
        </is>
      </c>
      <c r="D30" s="81" t="n"/>
    </row>
    <row r="31" ht="15" customHeight="1" s="62">
      <c r="A31" s="81" t="inlineStr">
        <is>
          <t>dallol-et</t>
        </is>
      </c>
      <c r="B31" s="81" t="inlineStr">
        <is>
          <t>Open issue</t>
        </is>
      </c>
      <c r="C31" s="113" t="inlineStr">
        <is>
          <t>Land status and nearest town (e.g. Hamed Ela) were not confirmed.</t>
        </is>
      </c>
      <c r="D31" s="81" t="n"/>
    </row>
    <row r="32" ht="15" customHeight="1" s="62">
      <c r="A32" s="81" t="inlineStr">
        <is>
          <t>dallol-et</t>
        </is>
      </c>
      <c r="B32" s="81" t="inlineStr">
        <is>
          <t>Judgement-based fields</t>
        </is>
      </c>
      <c r="C32" s="113" t="inlineStr">
        <is>
          <t>country_code, coordinate_precision, sensitive_site, land_status, hazard_rating, access_level</t>
        </is>
      </c>
      <c r="D32" s="81" t="n"/>
    </row>
    <row r="33" ht="23.85" customHeight="1" s="62">
      <c r="A33" s="81" t="inlineStr">
        <is>
          <t>mcmurdo-dry-valleys-aq</t>
        </is>
      </c>
      <c r="B33" s="81" t="inlineStr">
        <is>
          <t>Rating rationale: hazard_rating</t>
        </is>
      </c>
      <c r="C33" s="113" t="inlineStr">
        <is>
          <t>4 (High): extreme cold (record −65.7 °C), strong katabatic winds, lake-ice vehicle risk and total remoteness; work requires national-programme field training and support.</t>
        </is>
      </c>
      <c r="D33" s="81" t="n"/>
    </row>
    <row r="34" ht="23.85" customHeight="1" s="62">
      <c r="A34" s="81" t="inlineStr">
        <is>
          <t>mcmurdo-dry-valleys-aq</t>
        </is>
      </c>
      <c r="B34" s="81" t="inlineStr">
        <is>
          <t>Rating rationale: access_level</t>
        </is>
      </c>
      <c r="C34" s="113" t="inlineStr">
        <is>
          <t>5 (Restricted): reachable only by helicopter or over sea ice from national Antarctic stations on Ross Island, with a national Antarctic permit; the small Tourism Zone near Canada Glacier is the only exception.</t>
        </is>
      </c>
      <c r="D34" s="81" t="n"/>
    </row>
    <row r="35" ht="15" customHeight="1" s="62">
      <c r="A35" s="81" t="inlineStr">
        <is>
          <t>mcmurdo-dry-valleys-aq</t>
        </is>
      </c>
      <c r="B35" s="81" t="inlineStr">
        <is>
          <t>Open issue</t>
        </is>
      </c>
      <c r="C35" s="113" t="inlineStr">
        <is>
          <t>Coordinates are the ASMA plan's approximate centre (77°S, 162°E); no precise centroid source opened. Region-scale pin only.</t>
        </is>
      </c>
      <c r="D35" s="81" t="n"/>
    </row>
    <row r="36" ht="23.85" customHeight="1" s="62">
      <c r="A36" s="81" t="inlineStr">
        <is>
          <t>mcmurdo-dry-valleys-aq</t>
        </is>
      </c>
      <c r="B36" s="81" t="inlineStr">
        <is>
          <t>Open issue</t>
        </is>
      </c>
      <c r="C36" s="113" t="inlineStr">
        <is>
          <t>extent_km2 uses the ~4,500 km2 ice-free area (Wikipedia); the ASMA No. 2 designated area is ~15,000 km2. The owner should pick which one the catalogue means by extent.</t>
        </is>
      </c>
      <c r="D36" s="81" t="n"/>
    </row>
    <row r="37" ht="23.85" customHeight="1" s="62">
      <c r="A37" s="81" t="inlineStr">
        <is>
          <t>mcmurdo-dry-valleys-aq</t>
        </is>
      </c>
      <c r="B37" s="81" t="inlineStr">
        <is>
          <t>Open issue</t>
        </is>
      </c>
      <c r="C37" s="113" t="inlineStr">
        <is>
          <t>Measure number/year of the current ASMA No. 2 plan not stated in the opened copy (the ERA manual page says the plan was revised in 2011 and updated in 2015). Check the Antarctic Treaty Secretariat database for the current version.</t>
        </is>
      </c>
      <c r="D37" s="81" t="n"/>
    </row>
    <row r="38" ht="15" customHeight="1" s="62">
      <c r="A38" s="81" t="inlineStr">
        <is>
          <t>mcmurdo-dry-valleys-aq</t>
        </is>
      </c>
      <c r="B38" s="81" t="inlineStr">
        <is>
          <t>Open issue</t>
        </is>
      </c>
      <c r="C38" s="113" t="inlineStr">
        <is>
          <t>Altitude range, best season and key minerals not found in opened sources.</t>
        </is>
      </c>
      <c r="D38" s="81" t="n"/>
    </row>
    <row r="39" ht="23.85" customHeight="1" s="62">
      <c r="A39" s="81" t="inlineStr">
        <is>
          <t>mcmurdo-dry-valleys-aq</t>
        </is>
      </c>
      <c r="B39" s="81" t="inlineStr">
        <is>
          <t>Open issue</t>
        </is>
      </c>
      <c r="C39" s="113" t="inlineStr">
        <is>
          <t>The host rock of the cryptoendoliths (often reported as Beacon sandstone) was not confirmed in an opened source; Friedmann's abstract says only 'porous rocks'.</t>
        </is>
      </c>
      <c r="D39" s="81" t="n"/>
    </row>
    <row r="40" ht="15" customHeight="1" s="62">
      <c r="A40" s="81" t="inlineStr">
        <is>
          <t>mcmurdo-dry-valleys-aq</t>
        </is>
      </c>
      <c r="B40" s="81" t="inlineStr">
        <is>
          <t>Open issue</t>
        </is>
      </c>
      <c r="C40" s="113" t="inlineStr">
        <is>
          <t>Marchant &amp; Head (2007) abstract not read (ADS robots-blocked); metadata only.</t>
        </is>
      </c>
      <c r="D40" s="81" t="n"/>
    </row>
    <row r="41" ht="23.85" customHeight="1" s="62">
      <c r="A41" s="81" t="inlineStr">
        <is>
          <t>mcmurdo-dry-valleys-aq</t>
        </is>
      </c>
      <c r="B41" s="81" t="inlineStr">
        <is>
          <t>Open issue</t>
        </is>
      </c>
      <c r="C41" s="113" t="inlineStr">
        <is>
          <t>Land status: 'Protected area / national park' used for an Antarctic Specially Managed Area under the Antarctic Treaty; there is no exact vocabulary match.</t>
        </is>
      </c>
      <c r="D41" s="81" t="n"/>
    </row>
    <row r="42" ht="15" customHeight="1" s="62">
      <c r="A42" s="81" t="inlineStr">
        <is>
          <t>mcmurdo-dry-valleys-aq</t>
        </is>
      </c>
      <c r="B42" s="81" t="inlineStr">
        <is>
          <t>Judgement-based fields</t>
        </is>
      </c>
      <c r="C42" s="113" t="inlineStr">
        <is>
          <t>coordinate_precision, sensitive_site, access_level, hazard_rating</t>
        </is>
      </c>
      <c r="D42" s="81" t="n"/>
    </row>
    <row r="43" ht="23.85" customHeight="1" s="62">
      <c r="A43" s="81" t="inlineStr">
        <is>
          <t>haughton-crater-ca</t>
        </is>
      </c>
      <c r="B43" s="81" t="inlineStr">
        <is>
          <t>Rating rationale: hazard_rating</t>
        </is>
      </c>
      <c r="C43" s="113" t="inlineStr">
        <is>
          <t>4 (High). An uninhabited, very cold High Arctic polar desert where polar bears raid field camps, so teams need bear fencing, firearms and experienced leaders.</t>
        </is>
      </c>
      <c r="D43" s="81" t="n"/>
    </row>
    <row r="44" ht="23.85" customHeight="1" s="62">
      <c r="A44" s="81" t="inlineStr">
        <is>
          <t>haughton-crater-ca</t>
        </is>
      </c>
      <c r="B44" s="81" t="inlineStr">
        <is>
          <t>Rating rationale: access_level</t>
        </is>
      </c>
      <c r="C44" s="113" t="inlineStr">
        <is>
          <t>4 (Expedition). Reached by air to a remote seasonal camp. Visitors need several licences and permits (NRI, NIRB, Inuit Owned Lands, land use) plus written permission from the Mars Institute for the leased land.</t>
        </is>
      </c>
      <c r="D44" s="81" t="n"/>
    </row>
    <row r="45" ht="23.85" customHeight="1" s="62">
      <c r="A45" s="81" t="inlineStr">
        <is>
          <t>haughton-crater-ca</t>
        </is>
      </c>
      <c r="B45" s="81" t="inlineStr">
        <is>
          <t>Open issue</t>
        </is>
      </c>
      <c r="C45" s="113" t="inlineStr">
        <is>
          <t>The DOI for Osinski et al. (2005) M&amp;PS 40(12):1759–1776 was not confirmed because doi.org and Crossref were rate-limited. It is probably 10.1111/j.1945-5100.2005.tb00145.x but that is unverified, so it is left out.</t>
        </is>
      </c>
      <c r="D45" s="81" t="n"/>
    </row>
    <row r="46" ht="35.05" customHeight="1" s="62">
      <c r="A46" s="81" t="inlineStr">
        <is>
          <t>haughton-crater-ca</t>
        </is>
      </c>
      <c r="B46" s="81" t="inlineStr">
        <is>
          <t>Open issue</t>
        </is>
      </c>
      <c r="C46" s="113" t="inlineStr">
        <is>
          <t>Land status is unclear. The 2001 news article says about 70% of the land around the crater is Inuit-owned, while the HMP base camp is on leased Crown land. The current lease status after 2018 and the exact land boundaries need checking with the QIA and CIRNAC. 'Crown land' has no matching land_status vocabulary value.</t>
        </is>
      </c>
      <c r="D46" s="81" t="n"/>
    </row>
    <row r="47" ht="23.85" customHeight="1" s="62">
      <c r="A47" s="81" t="inlineStr">
        <is>
          <t>haughton-crater-ca</t>
        </is>
      </c>
      <c r="B47" s="81" t="inlineStr">
        <is>
          <t>Open issue</t>
        </is>
      </c>
      <c r="C47" s="113" t="inlineStr">
        <is>
          <t>Nearest town is not sourced. Grise Fiord is named as the affected community, but no opened source says it is nearest. Resolute is often the staging point, but this is unsourced.</t>
        </is>
      </c>
      <c r="D47" s="81" t="n"/>
    </row>
    <row r="48" ht="23.85" customHeight="1" s="62">
      <c r="A48" s="81" t="inlineStr">
        <is>
          <t>haughton-crater-ca</t>
        </is>
      </c>
      <c r="B48" s="81" t="inlineStr">
        <is>
          <t>Open issue</t>
        </is>
      </c>
      <c r="C48" s="113" t="inlineStr">
        <is>
          <t>Diameter: the papers give an apparent diameter of c. 23 km (Osinski 2005) or c. 24 km (Erickson 2021), and a final-crater estimate of c. 16 km. extent_km2 is not filled in.</t>
        </is>
      </c>
      <c r="D48" s="81" t="n"/>
    </row>
    <row r="49" ht="15" customHeight="1" s="62">
      <c r="A49" s="81" t="inlineStr">
        <is>
          <t>haughton-crater-ca</t>
        </is>
      </c>
      <c r="B49" s="81" t="inlineStr">
        <is>
          <t>Open issue</t>
        </is>
      </c>
      <c r="C49" s="113" t="inlineStr">
        <is>
          <t>No official Nunavut source specific to the site was found for polar bear risk. The hazard comes from a university news report.</t>
        </is>
      </c>
      <c r="D49" s="81" t="n"/>
    </row>
    <row r="50" ht="15" customHeight="1" s="62">
      <c r="A50" s="81" t="inlineStr">
        <is>
          <t>haughton-crater-ca</t>
        </is>
      </c>
      <c r="B50" s="81" t="inlineStr">
        <is>
          <t>Open issue</t>
        </is>
      </c>
      <c r="C50" s="113" t="inlineStr">
        <is>
          <t>No analogue_limitations source was found.</t>
        </is>
      </c>
      <c r="D50" s="81" t="n"/>
    </row>
    <row r="51" ht="15" customHeight="1" s="62">
      <c r="A51" s="81" t="inlineStr">
        <is>
          <t>haughton-crater-ca</t>
        </is>
      </c>
      <c r="B51" s="81" t="inlineStr">
        <is>
          <t>Judgement-based fields</t>
        </is>
      </c>
      <c r="C51" s="113" t="inlineStr">
        <is>
          <t>coordinate_precision, sensitive_site, access_level, hazard_rating</t>
        </is>
      </c>
      <c r="D51" s="81" t="n"/>
    </row>
    <row r="52" ht="23.85" customHeight="1" s="62">
      <c r="A52" s="81" t="inlineStr">
        <is>
          <t>iceland-volcanic-fields-is</t>
        </is>
      </c>
      <c r="B52" s="81" t="inlineStr">
        <is>
          <t>Rating rationale: hazard_rating</t>
        </is>
      </c>
      <c r="C52" s="113" t="inlineStr">
        <is>
          <t>3 (Moderate). Rugged, fragile lava in a remote highland area with a recently active volcanic system. Visitors need a group, a plan and suitable kit.</t>
        </is>
      </c>
      <c r="D52" s="81" t="n"/>
    </row>
    <row r="53" ht="23.85" customHeight="1" s="62">
      <c r="A53" s="81" t="inlineStr">
        <is>
          <t>iceland-volcanic-fields-is</t>
        </is>
      </c>
      <c r="B53" s="81" t="inlineStr">
        <is>
          <t>Rating rationale: access_level</t>
        </is>
      </c>
      <c r="C53" s="113" t="inlineStr">
        <is>
          <t>3 (Planned). Holuhraun is reached only on seasonal highland roads (open late May to mid-July onwards) inside a national park, with access limited to a waymarked trail. Krafla itself is easier to reach.</t>
        </is>
      </c>
      <c r="D53" s="81" t="n"/>
    </row>
    <row r="54" ht="15" customHeight="1" s="62">
      <c r="A54" s="81" t="inlineStr">
        <is>
          <t>iceland-volcanic-fields-is</t>
        </is>
      </c>
      <c r="B54" s="81" t="inlineStr">
        <is>
          <t>Open issue</t>
        </is>
      </c>
      <c r="C54" s="113" t="inlineStr">
        <is>
          <t>The single coordinate is Holuhraun. Krafla is about 100 km to the north (65.733, -16.783), so coordinate_precision is set to 'Region only'.</t>
        </is>
      </c>
      <c r="D54" s="81" t="n"/>
    </row>
    <row r="55" ht="15" customHeight="1" s="62">
      <c r="A55" s="81" t="inlineStr">
        <is>
          <t>iceland-volcanic-fields-is</t>
        </is>
      </c>
      <c r="B55" s="81" t="inlineStr">
        <is>
          <t>Open issue</t>
        </is>
      </c>
      <c r="C55" s="113" t="inlineStr">
        <is>
          <t>extent_km2 (85) is the 2014–15 Holuhraun lava field only (Wikipedia says 'more than 85 km²'). It does not include Krafla.</t>
        </is>
      </c>
      <c r="D55" s="81" t="n"/>
    </row>
    <row r="56" ht="23.85" customHeight="1" s="62">
      <c r="A56" s="81" t="inlineStr">
        <is>
          <t>iceland-volcanic-fields-is</t>
        </is>
      </c>
      <c r="B56" s="81" t="inlineStr">
        <is>
          <t>Open issue</t>
        </is>
      </c>
      <c r="C56" s="113" t="inlineStr">
        <is>
          <t>No peer-reviewed Mars-analogue paper specific to Krafla was opened and verified. Ehlmann et al. (2012) covers Icelandic altered basalts in general, and its sampling sites were not confirmed from the abstract page.</t>
        </is>
      </c>
      <c r="D56" s="81" t="n"/>
    </row>
    <row r="57" ht="23.85" customHeight="1" s="62">
      <c r="A57" s="81" t="inlineStr">
        <is>
          <t>iceland-volcanic-fields-is</t>
        </is>
      </c>
      <c r="B57" s="81" t="inlineStr">
        <is>
          <t>Open issue</t>
        </is>
      </c>
      <c r="C57" s="113" t="inlineStr">
        <is>
          <t>The 4x4 requirement, river crossings and the specific highland road numbers to Holuhraun (e.g. F88, F905, F910) could not be confirmed from an official source: safetravel.is was blocked and road.is redirected.</t>
        </is>
      </c>
      <c r="D57" s="81" t="n"/>
    </row>
    <row r="58" ht="23.85" customHeight="1" s="62">
      <c r="A58" s="81" t="inlineStr">
        <is>
          <t>iceland-volcanic-fields-is</t>
        </is>
      </c>
      <c r="B58" s="81" t="inlineStr">
        <is>
          <t>Open issue</t>
        </is>
      </c>
      <c r="C58" s="113" t="inlineStr">
        <is>
          <t>Research and sampling permits in Vatnajökull National Park: the park page links to a 'Permits' section with no details. permits_required is left blank.</t>
        </is>
      </c>
      <c r="D58" s="81" t="n"/>
    </row>
    <row r="59" ht="23.85" customHeight="1" s="62">
      <c r="A59" s="81" t="inlineStr">
        <is>
          <t>iceland-volcanic-fields-is</t>
        </is>
      </c>
      <c r="B59" s="81" t="inlineStr">
        <is>
          <t>Open issue</t>
        </is>
      </c>
      <c r="C59" s="113" t="inlineStr">
        <is>
          <t>Krafla land status, altitude ranges, key minerals at named sites and biology were not sourced. Toxic gas and remoteness hazards are likely but were not confirmed from opened sources.</t>
        </is>
      </c>
      <c r="D59" s="81" t="n"/>
    </row>
    <row r="60" ht="15" customHeight="1" s="62">
      <c r="A60" s="81" t="inlineStr">
        <is>
          <t>iceland-volcanic-fields-is</t>
        </is>
      </c>
      <c r="B60" s="81" t="inlineStr">
        <is>
          <t>Judgement-based fields</t>
        </is>
      </c>
      <c r="C60" s="113" t="inlineStr">
        <is>
          <t>coordinate_precision, sensitive_site, access_level, hazard_rating</t>
        </is>
      </c>
      <c r="D60" s="81" t="n"/>
    </row>
    <row r="61" ht="23.85" customHeight="1" s="62">
      <c r="A61" s="81" t="inlineStr">
        <is>
          <t>pilbara-strelley-pool-au</t>
        </is>
      </c>
      <c r="B61" s="81" t="inlineStr">
        <is>
          <t>Rating rationale: hazard_rating</t>
        </is>
      </c>
      <c r="C61" s="113" t="inlineStr">
        <is>
          <t>3: extreme summer heat (record 160 days &gt;=37.8 °C nearby), cyclone rains and remoteness mean real hazards needing a group, plan and kit, though not specialist training.</t>
        </is>
      </c>
      <c r="D61" s="81" t="n"/>
    </row>
    <row r="62" ht="23.85" customHeight="1" s="62">
      <c r="A62" s="81" t="inlineStr">
        <is>
          <t>pilbara-strelley-pool-au</t>
        </is>
      </c>
      <c r="B62" s="81" t="inlineStr">
        <is>
          <t>Rating rationale: access_level</t>
        </is>
      </c>
      <c r="C62" s="113" t="inlineStr">
        <is>
          <t>3: remote outback site c. 34 km from Marble Bar (itself 152 km from Port Hedland), with fieldwork requiring a GSWA permit and likely native-title/pastoral consultation; not invitation-only.</t>
        </is>
      </c>
      <c r="D62" s="81" t="n"/>
    </row>
    <row r="63" ht="35.05" customHeight="1" s="62">
      <c r="A63" s="81" t="inlineStr">
        <is>
          <t>pilbara-strelley-pool-au</t>
        </is>
      </c>
      <c r="B63" s="81" t="inlineStr">
        <is>
          <t>Open issue</t>
        </is>
      </c>
      <c r="C63" s="113" t="inlineStr">
        <is>
          <t>Land status not confirmed: Strelley Pool and Dresser sites may lie within the Nyamal native title determination or neighbouring claims and pastoral leases (e.g. Panorama), but no source names the sites. Check with the National Native Title Tribunal and Nyamal Aboriginal Corporation.</t>
        </is>
      </c>
      <c r="D63" s="81" t="n"/>
    </row>
    <row r="64" ht="23.85" customHeight="1" s="62">
      <c r="A64" s="81" t="inlineStr">
        <is>
          <t>pilbara-strelley-pool-au</t>
        </is>
      </c>
      <c r="B64" s="81" t="inlineStr">
        <is>
          <t>Open issue</t>
        </is>
      </c>
      <c r="C64" s="113" t="inlineStr">
        <is>
          <t>No official access page found: road conditions, 4WD requirements and whether access crosses pastoral leases or mining tenements are unconfirmed.</t>
        </is>
      </c>
      <c r="D64" s="81" t="n"/>
    </row>
    <row r="65" ht="23.85" customHeight="1" s="62">
      <c r="A65" s="81" t="inlineStr">
        <is>
          <t>pilbara-strelley-pool-au</t>
        </is>
      </c>
      <c r="B65" s="81" t="inlineStr">
        <is>
          <t>Open issue</t>
        </is>
      </c>
      <c r="C65" s="113" t="inlineStr">
        <is>
          <t>Permits: only GSWA fieldwork permits are documented (Duda et al. 2016). Heritage/Aboriginal heritage approvals for sampling not confirmed.</t>
        </is>
      </c>
      <c r="D65" s="81" t="n"/>
    </row>
    <row r="66" ht="23.85" customHeight="1" s="62">
      <c r="A66" s="81" t="inlineStr">
        <is>
          <t>pilbara-strelley-pool-au</t>
        </is>
      </c>
      <c r="B66" s="81" t="inlineStr">
        <is>
          <t>Open issue</t>
        </is>
      </c>
      <c r="C66" s="113" t="inlineStr">
        <is>
          <t>Coordinates are for the Strelley Pool section near the Trendall locality (Duda et al. 2016). The Dresser Formation is c. 15 km ENE (-21.152, 119.437). The owner may prefer two separate entries.</t>
        </is>
      </c>
      <c r="D66" s="81" t="n"/>
    </row>
    <row r="67" ht="23.85" customHeight="1" s="62">
      <c r="A67" s="81" t="inlineStr">
        <is>
          <t>pilbara-strelley-pool-au</t>
        </is>
      </c>
      <c r="B67" s="81" t="inlineStr">
        <is>
          <t>Open issue</t>
        </is>
      </c>
      <c r="C67" s="113" t="inlineStr">
        <is>
          <t>Mars 2020 link: the Eos article (Brown et al. 2020) supports the Jezero comparison; no peer-reviewed paper on Mars 2020 PIXL training at Pilbara was opened.</t>
        </is>
      </c>
      <c r="D67" s="81" t="n"/>
    </row>
    <row r="68" ht="15" customHeight="1" s="62">
      <c r="A68" s="81" t="inlineStr">
        <is>
          <t>pilbara-strelley-pool-au</t>
        </is>
      </c>
      <c r="B68" s="81" t="inlineStr">
        <is>
          <t>Open issue</t>
        </is>
      </c>
      <c r="C68" s="113" t="inlineStr">
        <is>
          <t>extent_km2 not set: Dresser Formation alone is c. 25 km² (Wikipedia); no figure for the combined site.</t>
        </is>
      </c>
      <c r="D68" s="81" t="n"/>
    </row>
    <row r="69" ht="15" customHeight="1" s="62">
      <c r="A69" s="81" t="inlineStr">
        <is>
          <t>pilbara-strelley-pool-au</t>
        </is>
      </c>
      <c r="B69" s="81" t="inlineStr">
        <is>
          <t>Judgement-based fields</t>
        </is>
      </c>
      <c r="C69" s="113" t="inlineStr">
        <is>
          <t>coordinate_precision, sensitive_site, hazard_rating, access_level</t>
        </is>
      </c>
      <c r="D69" s="81" t="n"/>
    </row>
    <row r="70" ht="23.85" customHeight="1" s="62">
      <c r="A70" s="81" t="inlineStr">
        <is>
          <t>shark-bay-hamelin-pool-au</t>
        </is>
      </c>
      <c r="B70" s="81" t="inlineStr">
        <is>
          <t>Rating rationale: hazard_rating</t>
        </is>
      </c>
      <c r="C70" s="113" t="inlineStr">
        <is>
          <t>2: shore-based viewing on a sealed road with few hazards, but the area is remote enough that DBCA recommends a personal locator beacon.</t>
        </is>
      </c>
      <c r="D70" s="81" t="n"/>
    </row>
    <row r="71" ht="23.85" customHeight="1" s="62">
      <c r="A71" s="81" t="inlineStr">
        <is>
          <t>shark-bay-hamelin-pool-au</t>
        </is>
      </c>
      <c r="B71" s="81" t="inlineStr">
        <is>
          <t>Rating rationale: access_level</t>
        </is>
      </c>
      <c r="C71" s="113" t="inlineStr">
        <is>
          <t>2: sealed road and short walk for visitors; scientific access needs a DBCA conditional licence (researchers may find this closer to 3 depending on lead time).</t>
        </is>
      </c>
      <c r="D71" s="81" t="n"/>
    </row>
    <row r="72" ht="23.85" customHeight="1" s="62">
      <c r="A72" s="81" t="inlineStr">
        <is>
          <t>shark-bay-hamelin-pool-au</t>
        </is>
      </c>
      <c r="B72" s="81" t="inlineStr">
        <is>
          <t>Open issue</t>
        </is>
      </c>
      <c r="C72" s="113" t="inlineStr">
        <is>
          <t>Boardwalk status conflicts: sharkbay.org describes a 200 m boardwalk, while DBCA pages say it is closed after Cyclone Seroja and will be replaced (no reopening date). Recheck before publishing.</t>
        </is>
      </c>
      <c r="D72" s="81" t="n"/>
    </row>
    <row r="73" ht="23.85" customHeight="1" s="62">
      <c r="A73" s="81" t="inlineStr">
        <is>
          <t>shark-bay-hamelin-pool-au</t>
        </is>
      </c>
      <c r="B73" s="81" t="inlineStr">
        <is>
          <t>Open issue</t>
        </is>
      </c>
      <c r="C73" s="113" t="inlineStr">
        <is>
          <t>Mars as secondary analogue is a judgement: the opened sources discuss early Earth/fossil-record relevance, not Mars. A peer-reviewed paper explicitly framing Hamelin Pool as a Mars analogue would strengthen this.</t>
        </is>
      </c>
      <c r="D73" s="81" t="n"/>
    </row>
    <row r="74" ht="15" customHeight="1" s="62">
      <c r="A74" s="81" t="inlineStr">
        <is>
          <t>shark-bay-hamelin-pool-au</t>
        </is>
      </c>
      <c r="B74" s="81" t="inlineStr">
        <is>
          <t>Open issue</t>
        </is>
      </c>
      <c r="C74" s="113" t="inlineStr">
        <is>
          <t>pH: only an annual mean of 8.1 (Spaven Province) was found, so ph_min/ph_max were left empty.</t>
        </is>
      </c>
      <c r="D74" s="81" t="n"/>
    </row>
    <row r="75" ht="15" customHeight="1" s="62">
      <c r="A75" s="81" t="inlineStr">
        <is>
          <t>shark-bay-hamelin-pool-au</t>
        </is>
      </c>
      <c r="B75" s="81" t="inlineStr">
        <is>
          <t>Open issue</t>
        </is>
      </c>
      <c r="C75" s="113" t="inlineStr">
        <is>
          <t>best_season not stated by any official source.</t>
        </is>
      </c>
      <c r="D75" s="81" t="n"/>
    </row>
    <row r="76" ht="23.85" customHeight="1" s="62">
      <c r="A76" s="81" t="inlineStr">
        <is>
          <t>shark-bay-hamelin-pool-au</t>
        </is>
      </c>
      <c r="B76" s="81" t="inlineStr">
        <is>
          <t>Open issue</t>
        </is>
      </c>
      <c r="C76" s="113" t="inlineStr">
        <is>
          <t>Malgana native title status (determination details) not checked against the National Native Title Tribunal; land_status 'Indigenous or community land' rests on DBCA recognition of Malgana as Traditional Owners.</t>
        </is>
      </c>
      <c r="D76" s="81" t="n"/>
    </row>
    <row r="77" ht="15" customHeight="1" s="62">
      <c r="A77" s="81" t="inlineStr">
        <is>
          <t>shark-bay-hamelin-pool-au</t>
        </is>
      </c>
      <c r="B77" s="81" t="inlineStr">
        <is>
          <t>Open issue</t>
        </is>
      </c>
      <c r="C77" s="113" t="inlineStr">
        <is>
          <t>Coordinates are the reserve-wide Wikipedia pin rounded to 2 decimals, published deliberately at Region only.</t>
        </is>
      </c>
      <c r="D77" s="81" t="n"/>
    </row>
    <row r="78" ht="15" customHeight="1" s="62">
      <c r="A78" s="81" t="inlineStr">
        <is>
          <t>shark-bay-hamelin-pool-au</t>
        </is>
      </c>
      <c r="B78" s="81" t="inlineStr">
        <is>
          <t>Judgement-based fields</t>
        </is>
      </c>
      <c r="C78" s="113" t="inlineStr">
        <is>
          <t>coordinate_precision, sensitive_site, analogue_for_other, geological_setting, access_level, hazard_rating</t>
        </is>
      </c>
      <c r="D78" s="81" t="n"/>
    </row>
    <row r="79" ht="23.85" customHeight="1" s="62">
      <c r="A79" s="81" t="inlineStr">
        <is>
          <t>arkaroola-au</t>
        </is>
      </c>
      <c r="B79" s="81" t="inlineStr">
        <is>
          <t>Rating rationale: hazard_rating</t>
        </is>
      </c>
      <c r="C79" s="113" t="inlineStr">
        <is>
          <t>Proposed 2 (Low): outback desert with rugged terrain. Radon at the Paralana springs is a localised hazard. No acute hazards were reported for the sanctuary itself.</t>
        </is>
      </c>
      <c r="D79" s="81" t="n"/>
    </row>
    <row r="80" ht="23.85" customHeight="1" s="62">
      <c r="A80" s="81" t="inlineStr">
        <is>
          <t>arkaroola-au</t>
        </is>
      </c>
      <c r="B80" s="81" t="inlineStr">
        <is>
          <t>Rating rationale: access_level</t>
        </is>
      </c>
      <c r="C80" s="113" t="inlineStr">
        <is>
          <t>Proposed 2 (Easy): sealed and unsealed road access from Adelaide to a commercially run sanctuary with guided and self-drive options. Research access is by arrangement with the private lessees, who support science (r2). No formal permit procedure was found.</t>
        </is>
      </c>
      <c r="D80" s="81" t="n"/>
    </row>
    <row r="81" ht="23.85" customHeight="1" s="62">
      <c r="A81" s="81" t="inlineStr">
        <is>
          <t>arkaroola-au</t>
        </is>
      </c>
      <c r="B81" s="81" t="inlineStr">
        <is>
          <t>Open issue</t>
        </is>
      </c>
      <c r="C81" s="113" t="inlineStr">
        <is>
          <t>No official SA Government page for the Arkaroola Protection Area could be opened (environment.sa.gov.au fetch failed). Land status comes from the Mars Society leaflet and Wikipedia.</t>
        </is>
      </c>
      <c r="D81" s="81" t="n"/>
    </row>
    <row r="82" ht="23.85" customHeight="1" s="62">
      <c r="A82" s="81" t="inlineStr">
        <is>
          <t>arkaroola-au</t>
        </is>
      </c>
      <c r="B82" s="81" t="inlineStr">
        <is>
          <t>Open issue</t>
        </is>
      </c>
      <c r="C82" s="113" t="inlineStr">
        <is>
          <t>Permit or sampling rules for research or rock collecting in the sanctuary and Protection Area were not found. permits_required, permit_authority and sampling_rules are left empty.</t>
        </is>
      </c>
      <c r="D82" s="81" t="n"/>
    </row>
    <row r="83" ht="15" customHeight="1" s="62">
      <c r="A83" s="81" t="inlineStr">
        <is>
          <t>arkaroola-au</t>
        </is>
      </c>
      <c r="B83" s="81" t="inlineStr">
        <is>
          <t>Open issue</t>
        </is>
      </c>
      <c r="C83" s="113" t="inlineStr">
        <is>
          <t>The Paralana hot springs (80 °C, radon) are on Wooltana Station, outside the sanctuary, and may need separate landholder permission.</t>
        </is>
      </c>
      <c r="D83" s="81" t="n"/>
    </row>
    <row r="84" ht="23.85" customHeight="1" s="62">
      <c r="A84" s="81" t="inlineStr">
        <is>
          <t>arkaroola-au</t>
        </is>
      </c>
      <c r="B84" s="81" t="inlineStr">
        <is>
          <t>Open issue</t>
        </is>
      </c>
      <c r="C84" s="113" t="inlineStr">
        <is>
          <t>The Adnyamathanha are the area's traditional owners (r4). Whether any part is Indigenous or community land or co-managed was not confirmed.</t>
        </is>
      </c>
      <c r="D84" s="81" t="n"/>
    </row>
    <row r="85" ht="23.85" customHeight="1" s="62">
      <c r="A85" s="81" t="inlineStr">
        <is>
          <t>arkaroola-au</t>
        </is>
      </c>
      <c r="B85" s="81" t="inlineStr">
        <is>
          <t>Open issue</t>
        </is>
      </c>
      <c r="C85" s="113" t="inlineStr">
        <is>
          <t>No peer-reviewed paper found that names 'Arkaroola' as a Mars analogue in its title or abstract and was opened. Thomas &amp; Walter (2002) covers the Mount Painter Inlier within the sanctuary. Arkaroola Mars Robotic Expedition (2012) publications were not located.</t>
        </is>
      </c>
      <c r="D85" s="81" t="n"/>
    </row>
    <row r="86" ht="23.85" customHeight="1" s="62">
      <c r="A86" s="81" t="inlineStr">
        <is>
          <t>arkaroola-au</t>
        </is>
      </c>
      <c r="B86" s="81" t="inlineStr">
        <is>
          <t>Open issue</t>
        </is>
      </c>
      <c r="C86" s="113" t="inlineStr">
        <is>
          <t>Best season, nearest town and the full hazard list (heat, remoteness, old uranium workings) are not supported by an opened source. Nearest town is left null.</t>
        </is>
      </c>
      <c r="D86" s="81" t="n"/>
    </row>
    <row r="87" ht="15" customHeight="1" s="62">
      <c r="A87" s="81" t="inlineStr">
        <is>
          <t>arkaroola-au</t>
        </is>
      </c>
      <c r="B87" s="81" t="inlineStr">
        <is>
          <t>Open issue</t>
        </is>
      </c>
      <c r="C87" s="113" t="inlineStr">
        <is>
          <t>Pin is the Arkaroola village/locality. Mount Gee is about 10 km north (30.227°S 139.344°E).</t>
        </is>
      </c>
      <c r="D87" s="81" t="n"/>
    </row>
    <row r="88" ht="15" customHeight="1" s="62">
      <c r="A88" s="81" t="inlineStr">
        <is>
          <t>arkaroola-au</t>
        </is>
      </c>
      <c r="B88" s="81" t="inlineStr">
        <is>
          <t>Judgement-based fields</t>
        </is>
      </c>
      <c r="C88" s="113" t="inlineStr">
        <is>
          <t>country_code, coordinate_precision, sensitive_site, hazard_rating, access_level</t>
        </is>
      </c>
      <c r="D88" s="81" t="n"/>
    </row>
    <row r="89" ht="23.85" customHeight="1" s="62">
      <c r="A89" s="81" t="inlineStr">
        <is>
          <t>lanzarote-es</t>
        </is>
      </c>
      <c r="B89" s="81" t="inlineStr">
        <is>
          <t>Rating rationale: hazard_rating</t>
        </is>
      </c>
      <c r="C89" s="113" t="inlineStr">
        <is>
          <t>2 Low: hot geothermal ground at Islote de Hilario and sun exposure on lava fields, but visitor areas are controlled; basic precautions suffice.</t>
        </is>
      </c>
      <c r="D89" s="81" t="n"/>
    </row>
    <row r="90" ht="23.85" customHeight="1" s="62">
      <c r="A90" s="81" t="inlineStr">
        <is>
          <t>lanzarote-es</t>
        </is>
      </c>
      <c r="B90" s="81" t="inlineStr">
        <is>
          <t>Rating rationale: access_level</t>
        </is>
      </c>
      <c r="C90" s="113" t="inlineStr">
        <is>
          <t>2 Easy: paved road access and much of the island open; Timanfaya interior only by bus or booked guided walk, and research in reserve zones needs park authorisation.</t>
        </is>
      </c>
      <c r="D90" s="81" t="n"/>
    </row>
    <row r="91" ht="23.85" customHeight="1" s="62">
      <c r="A91" s="81" t="inlineStr">
        <is>
          <t>lanzarote-es</t>
        </is>
      </c>
      <c r="B91" s="81" t="inlineStr">
        <is>
          <t>Open issue</t>
        </is>
      </c>
      <c r="C91" s="113" t="inlineStr">
        <is>
          <t>The ESA page (r5) says 'other planetary bodies' without naming the Moon explicitly; Moon as secondary analogue reflects the task brief and PANGAEA's purpose and should be checked against an ESA PANGAEA page naming the Moon.</t>
        </is>
      </c>
      <c r="D91" s="81" t="n"/>
    </row>
    <row r="92" ht="15" customHeight="1" s="62">
      <c r="A92" s="81" t="inlineStr">
        <is>
          <t>lanzarote-es</t>
        </is>
      </c>
      <c r="B92" s="81" t="inlineStr">
        <is>
          <t>Open issue</t>
        </is>
      </c>
      <c r="C92" s="113" t="inlineStr">
        <is>
          <t>r2 (La Corona paper) DOI not confirmed on the publisher page; authors and year unverified — keep verified=false or replace.</t>
        </is>
      </c>
      <c r="D92" s="81" t="n"/>
    </row>
    <row r="93" ht="15" customHeight="1" s="62">
      <c r="A93" s="81" t="inlineStr">
        <is>
          <t>lanzarote-es</t>
        </is>
      </c>
      <c r="B93" s="81" t="inlineStr">
        <is>
          <t>Open issue</t>
        </is>
      </c>
      <c r="C93" s="113" t="inlineStr">
        <is>
          <t>No opened source names rock types (e.g. basalt); rock_types left null.</t>
        </is>
      </c>
      <c r="D93" s="81" t="n"/>
    </row>
    <row r="94" ht="23.85" customHeight="1" s="62">
      <c r="A94" s="81" t="inlineStr">
        <is>
          <t>lanzarote-es</t>
        </is>
      </c>
      <c r="B94" s="81" t="inlineStr">
        <is>
          <t>Open issue</t>
        </is>
      </c>
      <c r="C94" s="113" t="inlineStr">
        <is>
          <t>The UNESCO geopark page on unesco.org failed to load; geopark/biosphere status taken from the geopark's own site (r3) and the Timanfaya guide (r4).</t>
        </is>
      </c>
      <c r="D94" s="81" t="n"/>
    </row>
    <row r="95" ht="15" customHeight="1" s="62">
      <c r="A95" s="81" t="inlineStr">
        <is>
          <t>lanzarote-es</t>
        </is>
      </c>
      <c r="B95" s="81" t="inlineStr">
        <is>
          <t>Open issue</t>
        </is>
      </c>
      <c r="C95" s="113" t="inlineStr">
        <is>
          <t>No peer-reviewed paper specifically on PANGAEA in Lanzarote with a verified DOI was opened.</t>
        </is>
      </c>
      <c r="D95" s="81" t="n"/>
    </row>
    <row r="96" ht="15" customHeight="1" s="62">
      <c r="A96" s="81" t="inlineStr">
        <is>
          <t>lanzarote-es</t>
        </is>
      </c>
      <c r="B96" s="81" t="inlineStr">
        <is>
          <t>Open issue</t>
        </is>
      </c>
      <c r="C96" s="113" t="inlineStr">
        <is>
          <t>Best season, pH, temperature ranges and altitude minimum not sourced.</t>
        </is>
      </c>
      <c r="D96" s="81" t="n"/>
    </row>
    <row r="97" ht="23.85" customHeight="1" s="62">
      <c r="A97" s="81" t="inlineStr">
        <is>
          <t>lanzarote-es</t>
        </is>
      </c>
      <c r="B97" s="81" t="inlineStr">
        <is>
          <t>Open issue</t>
        </is>
      </c>
      <c r="C97" s="113" t="inlineStr">
        <is>
          <t>Hydrothermal environment refers to Timanfaya geothermal anomalies, not hot springs; check whether 'Hot spring / hydrothermal' is appropriate.</t>
        </is>
      </c>
      <c r="D97" s="81" t="n"/>
    </row>
    <row r="98" ht="15" customHeight="1" s="62">
      <c r="A98" s="81" t="inlineStr">
        <is>
          <t>lanzarote-es</t>
        </is>
      </c>
      <c r="B98" s="81" t="inlineStr">
        <is>
          <t>Judgement-based fields</t>
        </is>
      </c>
      <c r="C98" s="113" t="inlineStr">
        <is>
          <t>coordinate_precision, sensitive_site, access_level, hazard_rating</t>
        </is>
      </c>
      <c r="D98" s="81" t="n"/>
    </row>
    <row r="99" ht="23.85" customHeight="1" s="62">
      <c r="A99" s="81" t="inlineStr">
        <is>
          <t>bockfjord-svalbard-sj</t>
        </is>
      </c>
      <c r="B99" s="81" t="inlineStr">
        <is>
          <t>Rating rationale: hazard_rating</t>
        </is>
      </c>
      <c r="C99" s="113" t="inlineStr">
        <is>
          <t>4 (High). Polar bears are a real threat anywhere outside settlements. Visitors must carry deterrents (a firearm is recommended), camps need bear guards, and the area is remote High Arctic needing a registered emergency beacon.</t>
        </is>
      </c>
      <c r="D99" s="81" t="n"/>
    </row>
    <row r="100" ht="23.85" customHeight="1" s="62">
      <c r="A100" s="81" t="inlineStr">
        <is>
          <t>bockfjord-svalbard-sj</t>
        </is>
      </c>
      <c r="B100" s="81" t="inlineStr">
        <is>
          <t>Rating rationale: access_level</t>
        </is>
      </c>
      <c r="C100" s="113" t="inlineStr">
        <is>
          <t>4 (Expedition). A remote fjord inside Nordvest-Spitsbergen National Park. Research needs RiS registration and a Governor's exemption, applied for by fixed deadlines with up to 8 weeks' processing.</t>
        </is>
      </c>
      <c r="D100" s="81" t="n"/>
    </row>
    <row r="101" ht="23.85" customHeight="1" s="62">
      <c r="A101" s="81" t="inlineStr">
        <is>
          <t>bockfjord-svalbard-sj</t>
        </is>
      </c>
      <c r="B101" s="81" t="inlineStr">
        <is>
          <t>Open issue</t>
        </is>
      </c>
      <c r="C101" s="113" t="inlineStr">
        <is>
          <t>Only one verified peer-reviewed paper with a DOI (Steele et al. 2007). Treiman et al. (2002) on Bockfjord carbonate globules and AMASE instrument papers (e.g. Blake et al., Mahaffy et al.) were not opened or verified.</t>
        </is>
      </c>
      <c r="D101" s="81" t="n"/>
    </row>
    <row r="102" ht="23.85" customHeight="1" s="62">
      <c r="A102" s="81" t="inlineStr">
        <is>
          <t>bockfjord-svalbard-sj</t>
        </is>
      </c>
      <c r="B102" s="81" t="inlineStr">
        <is>
          <t>Open issue</t>
        </is>
      </c>
      <c r="C102" s="113" t="inlineStr">
        <is>
          <t>Ages conflict: c. 1 Ma subglacial eruptions (Amundsen et al. 2011 abstract) against c. 2.6 Ma formation (Wikipedia). Needs a peer-reviewed geochronology source.</t>
        </is>
      </c>
      <c r="D102" s="81" t="n"/>
    </row>
    <row r="103" ht="15" customHeight="1" s="62">
      <c r="A103" s="81" t="inlineStr">
        <is>
          <t>bockfjord-svalbard-sj</t>
        </is>
      </c>
      <c r="B103" s="81" t="inlineStr">
        <is>
          <t>Open issue</t>
        </is>
      </c>
      <c r="C103" s="113" t="inlineStr">
        <is>
          <t>Sigurdfjell was not located, so the coordinate is the Sverrefjellet summit.</t>
        </is>
      </c>
      <c r="D103" s="81" t="n"/>
    </row>
    <row r="104" ht="15" customHeight="1" s="62">
      <c r="A104" s="81" t="inlineStr">
        <is>
          <t>bockfjord-svalbard-sj</t>
        </is>
      </c>
      <c r="B104" s="81" t="inlineStr">
        <is>
          <t>Open issue</t>
        </is>
      </c>
      <c r="C104" s="113" t="inlineStr">
        <is>
          <t>temp_max_c 25.6 is the warm spring water temperature (Jotun/Troll), not air temperature.</t>
        </is>
      </c>
      <c r="D104" s="81" t="n"/>
    </row>
    <row r="105" ht="23.85" customHeight="1" s="62">
      <c r="A105" s="81" t="inlineStr">
        <is>
          <t>bockfjord-svalbard-sj</t>
        </is>
      </c>
      <c r="B105" s="81" t="inlineStr">
        <is>
          <t>Open issue</t>
        </is>
      </c>
      <c r="C105" s="113" t="inlineStr">
        <is>
          <t>Sverrefjellet is not named explicitly as inside Nordvest-Spitsbergen National Park. The park is described as covering the Bockfjorden coast, its volcanic remains and the springs.</t>
        </is>
      </c>
      <c r="D105" s="81" t="n"/>
    </row>
    <row r="106" ht="23.85" customHeight="1" s="62">
      <c r="A106" s="81" t="inlineStr">
        <is>
          <t>bockfjord-svalbard-sj</t>
        </is>
      </c>
      <c r="B106" s="81" t="inlineStr">
        <is>
          <t>Open issue</t>
        </is>
      </c>
      <c r="C106" s="113" t="inlineStr">
        <is>
          <t>Extreme cold and remoteness are likely hazards but no opened source states them explicitly. Transport (boat or ship from Longyearbyen) and the nearest settlement were not sourced.</t>
        </is>
      </c>
      <c r="D106" s="81" t="n"/>
    </row>
    <row r="107" ht="15" customHeight="1" s="62">
      <c r="A107" s="81" t="inlineStr">
        <is>
          <t>bockfjord-svalbard-sj</t>
        </is>
      </c>
      <c r="B107" s="81" t="inlineStr">
        <is>
          <t>Open issue</t>
        </is>
      </c>
      <c r="C107" s="113" t="inlineStr">
        <is>
          <t>No analogue_limitations source was found.</t>
        </is>
      </c>
      <c r="D107" s="81" t="n"/>
    </row>
    <row r="108" ht="15" customHeight="1" s="62">
      <c r="A108" s="81" t="inlineStr">
        <is>
          <t>bockfjord-svalbard-sj</t>
        </is>
      </c>
      <c r="B108" s="81" t="inlineStr">
        <is>
          <t>Judgement-based fields</t>
        </is>
      </c>
      <c r="C108" s="113" t="inlineStr">
        <is>
          <t>coordinate_precision, sensitive_site, access_level, hazard_rating</t>
        </is>
      </c>
      <c r="D108" s="81" t="n"/>
    </row>
    <row r="109" ht="23.85" customHeight="1" s="62">
      <c r="A109" s="81" t="inlineStr">
        <is>
          <t>mauna-kea-us</t>
        </is>
      </c>
      <c r="B109" s="81" t="inlineStr">
        <is>
          <t>Rating rationale: hazard_rating</t>
        </is>
      </c>
      <c r="C109" s="113" t="inlineStr">
        <is>
          <t>4: summit visitors reach c. 4,200 m with documented risk of altitude illness (including HAPE/HACE), severe winter storms and emergency help hours away. Test sites at c. 2,800 m alone would rate nearer 3.</t>
        </is>
      </c>
      <c r="D109" s="81" t="n"/>
    </row>
    <row r="110" ht="23.85" customHeight="1" s="62">
      <c r="A110" s="81" t="inlineStr">
        <is>
          <t>mauna-kea-us</t>
        </is>
      </c>
      <c r="B110" s="81" t="inlineStr">
        <is>
          <t>Rating rationale: access_level</t>
        </is>
      </c>
      <c r="C110" s="113" t="inlineStr">
        <is>
          <t>3: road access, but 4WD with low range is mandatory above the VIS, and field testing or sampling needs approval from the managing authority.</t>
        </is>
      </c>
      <c r="D110" s="81" t="n"/>
    </row>
    <row r="111" ht="23.85" customHeight="1" s="62">
      <c r="A111" s="81" t="inlineStr">
        <is>
          <t>mauna-kea-us</t>
        </is>
      </c>
      <c r="B111" s="81" t="inlineStr">
        <is>
          <t>Open issue</t>
        </is>
      </c>
      <c r="C111" s="113" t="inlineStr">
        <is>
          <t>Research permits: no official page opened describes the permit process for field testing or sampling (who issues it under the MKSOA transition). permits_required left empty.</t>
        </is>
      </c>
      <c r="D111" s="81" t="n"/>
    </row>
    <row r="112" ht="23.85" customHeight="1" s="62">
      <c r="A112" s="81" t="inlineStr">
        <is>
          <t>mauna-kea-us</t>
        </is>
      </c>
      <c r="B112" s="81" t="inlineStr">
        <is>
          <t>Open issue</t>
        </is>
      </c>
      <c r="C112" s="113" t="inlineStr">
        <is>
          <t>land_status: Science Reserve is leased state land hosting 13 observatories; exact tenure (state conservation district, DLNR, MKSOA) needs confirming. 'Research station' is a best fit.</t>
        </is>
      </c>
      <c r="D112" s="81" t="n"/>
    </row>
    <row r="113" ht="15" customHeight="1" s="62">
      <c r="A113" s="81" t="inlineStr">
        <is>
          <t>mauna-kea-us</t>
        </is>
      </c>
      <c r="B113" s="81" t="inlineStr">
        <is>
          <t>Open issue</t>
        </is>
      </c>
      <c r="C113" s="113" t="inlineStr">
        <is>
          <t>Analogue regolith mineralogy (e.g. palagonitic tephra) not confirmed from an opened source; key_minerals left empty.</t>
        </is>
      </c>
      <c r="D113" s="81" t="n"/>
    </row>
    <row r="114" ht="23.85" customHeight="1" s="62">
      <c r="A114" s="81" t="inlineStr">
        <is>
          <t>mauna-kea-us</t>
        </is>
      </c>
      <c r="B114" s="81" t="inlineStr">
        <is>
          <t>Open issue</t>
        </is>
      </c>
      <c r="C114" s="113" t="inlineStr">
        <is>
          <t>Coordinates are the summit; ISRU test sites (e.g. Puʻu Hiwahine) lie lower on the flank, so precision is set to c. 10 km. Exact test-site coordinates not found.</t>
        </is>
      </c>
      <c r="D114" s="81" t="n"/>
    </row>
    <row r="115" ht="15" customHeight="1" s="62">
      <c r="A115" s="81" t="inlineStr">
        <is>
          <t>mauna-kea-us</t>
        </is>
      </c>
      <c r="B115" s="81" t="inlineStr">
        <is>
          <t>Open issue</t>
        </is>
      </c>
      <c r="C115" s="113" t="inlineStr">
        <is>
          <t>best_season not found in an official source.</t>
        </is>
      </c>
      <c r="D115" s="81" t="n"/>
    </row>
    <row r="116" ht="15" customHeight="1" s="62">
      <c r="A116" s="81" t="inlineStr">
        <is>
          <t>mauna-kea-us</t>
        </is>
      </c>
      <c r="B116" s="81" t="inlineStr">
        <is>
          <t>Open issue</t>
        </is>
      </c>
      <c r="C116" s="113" t="inlineStr">
        <is>
          <t>The ten Kate et al. paper was read from its abstract page only; geological setting details in the full text not checked.</t>
        </is>
      </c>
      <c r="D116" s="81" t="n"/>
    </row>
    <row r="117" ht="15" customHeight="1" s="62">
      <c r="A117" s="81" t="inlineStr">
        <is>
          <t>mauna-kea-us</t>
        </is>
      </c>
      <c r="B117" s="81" t="inlineStr">
        <is>
          <t>Judgement-based fields</t>
        </is>
      </c>
      <c r="C117" s="113" t="inlineStr">
        <is>
          <t>coordinate_precision, sensitive_site, analogue_limitations, access_level, hazard_rating</t>
        </is>
      </c>
      <c r="D117" s="81" t="n"/>
    </row>
    <row r="118" ht="23.85" customHeight="1" s="62">
      <c r="A118" s="81" t="inlineStr">
        <is>
          <t>boulby-mine-gb</t>
        </is>
      </c>
      <c r="B118" s="81" t="inlineStr">
        <is>
          <t>Rating rationale: hazard_rating</t>
        </is>
      </c>
      <c r="C118" s="113" t="inlineStr">
        <is>
          <t>3 Moderate: deep (about 1.1 km) working mine with warm brines (29.5–35.7 °C); visits are only by arrangement under lab and mine procedures. Proposal only; no opened source describes the safety regime.</t>
        </is>
      </c>
      <c r="D118" s="81" t="n"/>
    </row>
    <row r="119" ht="23.85" customHeight="1" s="62">
      <c r="A119" s="81" t="inlineStr">
        <is>
          <t>boulby-mine-gb</t>
        </is>
      </c>
      <c r="B119" s="81" t="inlineStr">
        <is>
          <t>Rating rationale: access_level</t>
        </is>
      </c>
      <c r="C119" s="113" t="inlineStr">
        <is>
          <t>5 Restricted: research facility inside an operating commercial mine; access only by arrangement with STFC Boulby Underground Laboratory.</t>
        </is>
      </c>
      <c r="D119" s="81" t="n"/>
    </row>
    <row r="120" ht="23.85" customHeight="1" s="62">
      <c r="A120" s="81" t="inlineStr">
        <is>
          <t>boulby-mine-gb</t>
        </is>
      </c>
      <c r="B120" s="81" t="inlineStr">
        <is>
          <t>Open issue</t>
        </is>
      </c>
      <c r="C120" s="113" t="inlineStr">
        <is>
          <t>No opened source gives the lab's access procedure, induction or safety requirements; hazards left null (none of the controlled hazard terms is directly supported). Check with STFC.</t>
        </is>
      </c>
      <c r="D120" s="81" t="n"/>
    </row>
    <row r="121" ht="15" customHeight="1" s="62">
      <c r="A121" s="81" t="inlineStr">
        <is>
          <t>boulby-mine-gb</t>
        </is>
      </c>
      <c r="B121" s="81" t="inlineStr">
        <is>
          <t>Open issue</t>
        </is>
      </c>
      <c r="C121" s="113" t="inlineStr">
        <is>
          <t>temp_min_c/temp_max_c are in situ brine temperatures (r2), not air or rock temperature.</t>
        </is>
      </c>
      <c r="D121" s="81" t="n"/>
    </row>
    <row r="122" ht="15" customHeight="1" s="62">
      <c r="A122" s="81" t="inlineStr">
        <is>
          <t>boulby-mine-gb</t>
        </is>
      </c>
      <c r="B122" s="81" t="inlineStr">
        <is>
          <t>Open issue</t>
        </is>
      </c>
      <c r="C122" s="113" t="inlineStr">
        <is>
          <t>pH range is for five brine samples (r2), including Billingham, which may not be from within Boulby Mine itself; confirm.</t>
        </is>
      </c>
      <c r="D122" s="81" t="n"/>
    </row>
    <row r="123" ht="15" customHeight="1" s="62">
      <c r="A123" s="81" t="inlineStr">
        <is>
          <t>boulby-mine-gb</t>
        </is>
      </c>
      <c r="B123" s="81" t="inlineStr">
        <is>
          <t>Open issue</t>
        </is>
      </c>
      <c r="C123" s="113" t="inlineStr">
        <is>
          <t>analogue_for_other left empty; no source names a second body.</t>
        </is>
      </c>
      <c r="D123" s="81" t="n"/>
    </row>
    <row r="124" ht="23.85" customHeight="1" s="62">
      <c r="A124" s="81" t="inlineStr">
        <is>
          <t>boulby-mine-gb</t>
        </is>
      </c>
      <c r="B124" s="81" t="inlineStr">
        <is>
          <t>Open issue</t>
        </is>
      </c>
      <c r="C124" s="113" t="inlineStr">
        <is>
          <t>Coordinates are for mine surface facilities; the mine's underground workings extend well beyond the surface site, hence approximately 10 km precision.</t>
        </is>
      </c>
      <c r="D124" s="81" t="n"/>
    </row>
    <row r="125" ht="15" customHeight="1" s="62">
      <c r="A125" s="81" t="inlineStr">
        <is>
          <t>boulby-mine-gb</t>
        </is>
      </c>
      <c r="B125" s="81" t="inlineStr">
        <is>
          <t>Open issue</t>
        </is>
      </c>
      <c r="C125" s="113" t="inlineStr">
        <is>
          <t>extent_km2, altitude and best season not found.</t>
        </is>
      </c>
      <c r="D125" s="81" t="n"/>
    </row>
    <row r="126" ht="15" customHeight="1" s="62">
      <c r="A126" s="81" t="inlineStr">
        <is>
          <t>boulby-mine-gb</t>
        </is>
      </c>
      <c r="B126" s="81" t="inlineStr">
        <is>
          <t>Judgement-based fields</t>
        </is>
      </c>
      <c r="C126" s="113" t="inlineStr">
        <is>
          <t>coordinate_precision, sensitive_site, access_level, hazard_rating</t>
        </is>
      </c>
      <c r="D126" s="81" t="n"/>
    </row>
    <row r="127" ht="23.85" customHeight="1" s="62">
      <c r="A127" s="81" t="inlineStr">
        <is>
          <t>lost-city-vent-field</t>
        </is>
      </c>
      <c r="B127" s="81" t="inlineStr">
        <is>
          <t>Rating rationale: hazard_rating</t>
        </is>
      </c>
      <c r="C127" s="113" t="inlineStr">
        <is>
          <t>3 (Moderate): a normal participant faces open-ocean shipboard work far from land; the vent itself (750–900 m deep) is visited only by ROV or submersible.</t>
        </is>
      </c>
      <c r="D127" s="81" t="n"/>
    </row>
    <row r="128" ht="15" customHeight="1" s="62">
      <c r="A128" s="81" t="inlineStr">
        <is>
          <t>lost-city-vent-field</t>
        </is>
      </c>
      <c r="B128" s="81" t="inlineStr">
        <is>
          <t>Rating rationale: access_level</t>
        </is>
      </c>
      <c r="C128" s="113" t="inlineStr">
        <is>
          <t>5 (Restricted): reachable only on an invited berth on a deep-ocean research cruise with ROV or submersible capability.</t>
        </is>
      </c>
      <c r="D128" s="81" t="n"/>
    </row>
    <row r="129" ht="35.05" customHeight="1" s="62">
      <c r="A129" s="81" t="inlineStr">
        <is>
          <t>lost-city-vent-field</t>
        </is>
      </c>
      <c r="B129" s="81" t="inlineStr">
        <is>
          <t>Open issue</t>
        </is>
      </c>
      <c r="C129" s="113" t="inlineStr">
        <is>
          <t>UNESCO status: NOT a World Heritage site and not formally nominated. UNESCO's 2016 report presents it as one of five illustrative high-seas sites of potential Outstanding Universal Value (r5); high-seas sites cannot currently be inscribed. land_status set to 'Unknown' because 'Areas beyond national jurisdiction' is not in the vocabulary.</t>
        </is>
      </c>
      <c r="D129" s="81" t="n"/>
    </row>
    <row r="130" ht="23.85" customHeight="1" s="62">
      <c r="A130" s="81" t="inlineStr">
        <is>
          <t>lost-city-vent-field</t>
        </is>
      </c>
      <c r="B130" s="81" t="inlineStr">
        <is>
          <t>Open issue</t>
        </is>
      </c>
      <c r="C130" s="113" t="inlineStr">
        <is>
          <t>country/country_code: the site lies in international waters on the Mid-Atlantic Ridge; no ISO code assigned. The owner should decide how to represent it.</t>
        </is>
      </c>
      <c r="D130" s="81" t="n"/>
    </row>
    <row r="131" ht="35.05" customHeight="1" s="62">
      <c r="A131" s="81" t="inlineStr">
        <is>
          <t>lost-city-vent-field</t>
        </is>
      </c>
      <c r="B131" s="81" t="inlineStr">
        <is>
          <t>Open issue</t>
        </is>
      </c>
      <c r="C131" s="113" t="inlineStr">
        <is>
          <t>Permits: no opened source states the permit regime. Seabed research in areas beyond national jurisdiction falls under UNCLOS/ISA arrangements; 'Varies' is a judgement. There are reports of an ISA exploration contract (Poland) overlapping the area, but no source was opened to confirm this.</t>
        </is>
      </c>
      <c r="D131" s="81" t="n"/>
    </row>
    <row r="132" ht="23.85" customHeight="1" s="62">
      <c r="A132" s="81" t="inlineStr">
        <is>
          <t>lost-city-vent-field</t>
        </is>
      </c>
      <c r="B132" s="81" t="inlineStr">
        <is>
          <t>Open issue</t>
        </is>
      </c>
      <c r="C132" s="113" t="inlineStr">
        <is>
          <t>Fluid temperature minimum: Kelley 2005 gives '&lt;40 °C', while Kelley 2001 and Wikipedia give 40 °C. 40 is stored. pH range combines 9.0 (Kelley 2001) and 11 (Kelley 2005).</t>
        </is>
      </c>
      <c r="D132" s="81" t="n"/>
    </row>
    <row r="133" ht="23.85" customHeight="1" s="62">
      <c r="A133" s="81" t="inlineStr">
        <is>
          <t>lost-city-vent-field</t>
        </is>
      </c>
      <c r="B133" s="81" t="inlineStr">
        <is>
          <t>Open issue</t>
        </is>
      </c>
      <c r="C133" s="113" t="inlineStr">
        <is>
          <t>Depth: Wikipedia gives 750–900 m and UNESCO calls it '800 meter-deep'. NOAA's page is inconsistent (~2,100 ft vs ~2,500 ft), so it is not used.</t>
        </is>
      </c>
      <c r="D133" s="81" t="n"/>
    </row>
    <row r="134" ht="23.85" customHeight="1" s="62">
      <c r="A134" s="81" t="inlineStr">
        <is>
          <t>lost-city-vent-field</t>
        </is>
      </c>
      <c r="B134" s="81" t="inlineStr">
        <is>
          <t>Open issue</t>
        </is>
      </c>
      <c r="C134" s="113" t="inlineStr">
        <is>
          <t>sensitive_site set to 'No' because the location is widely published and inaccessible to casual visitors, but the chimneys are fragile and UNESCO flags conservation value. The owner may prefer 'Yes'.</t>
        </is>
      </c>
      <c r="D134" s="81" t="n"/>
    </row>
    <row r="135" ht="15" customHeight="1" s="62">
      <c r="A135" s="81" t="inlineStr">
        <is>
          <t>lost-city-vent-field</t>
        </is>
      </c>
      <c r="B135" s="81" t="inlineStr">
        <is>
          <t>Open issue</t>
        </is>
      </c>
      <c r="C135" s="113" t="inlineStr">
        <is>
          <t>Early Earth / origin-of-life relevance is widely discussed but not stated in the opened sources, so it is not recorded.</t>
        </is>
      </c>
      <c r="D135" s="81" t="n"/>
    </row>
    <row r="136" ht="23.85" customHeight="1" s="62">
      <c r="A136" s="81" t="inlineStr">
        <is>
          <t>lost-city-vent-field</t>
        </is>
      </c>
      <c r="B136" s="81" t="inlineStr">
        <is>
          <t>Open issue</t>
        </is>
      </c>
      <c r="C136" s="113" t="inlineStr">
        <is>
          <t>Nature (doi 10.1038/35084000) and PubMed pages were rate-limited (HTTP 429), and the Science DOI page failed to load; verification relied on Crossref and Europe PMC records.</t>
        </is>
      </c>
      <c r="D136" s="81" t="n"/>
    </row>
    <row r="137" ht="15" customHeight="1" s="62">
      <c r="A137" s="81" t="inlineStr">
        <is>
          <t>lost-city-vent-field</t>
        </is>
      </c>
      <c r="B137" s="81" t="inlineStr">
        <is>
          <t>Judgement-based fields</t>
        </is>
      </c>
      <c r="C137" s="113" t="inlineStr">
        <is>
          <t>country, coordinate_precision, sensitive_site, access_level, permits_required, land_status, hazard_rating, hazards, safety_notes</t>
        </is>
      </c>
      <c r="D137" s="81" t="n"/>
    </row>
    <row r="138" ht="23.85" customHeight="1" s="62">
      <c r="A138" s="81" t="inlineStr">
        <is>
          <t>lake-vostok-aq</t>
        </is>
      </c>
      <c r="B138" s="81" t="inlineStr">
        <is>
          <t>Rating rationale: hazard_rating</t>
        </is>
      </c>
      <c r="C138" s="113" t="inlineStr">
        <is>
          <t>5 (Extreme): record −89.2 °C, 3,488 m altitude with hypoxia, and extreme isolation on the high plateau; life-threatening without specialist polar training and support.</t>
        </is>
      </c>
      <c r="D138" s="81" t="n"/>
    </row>
    <row r="139" ht="23.85" customHeight="1" s="62">
      <c r="A139" s="81" t="inlineStr">
        <is>
          <t>lake-vostok-aq</t>
        </is>
      </c>
      <c r="B139" s="81" t="inlineStr">
        <is>
          <t>Rating rationale: access_level</t>
        </is>
      </c>
      <c r="C139" s="113" t="inlineStr">
        <is>
          <t>5 (Restricted): only via a Russian research station with national Antarctic permits; the lake itself is reachable only by multi-kilometre borehole.</t>
        </is>
      </c>
      <c r="D139" s="81" t="n"/>
    </row>
    <row r="140" ht="23.85" customHeight="1" s="62">
      <c r="A140" s="81" t="inlineStr">
        <is>
          <t>lake-vostok-aq</t>
        </is>
      </c>
      <c r="B140" s="81" t="inlineStr">
        <is>
          <t>Open issue</t>
        </is>
      </c>
      <c r="C140" s="113" t="inlineStr">
        <is>
          <t>No opened peer-reviewed paper explicitly frames Vostok as a Europa/Enceladus analogue in its abstract; the icy-moon link is sourced from Wikipedia. A dedicated analogue paper (e.g. in Astrobiology) should be found and verified.</t>
        </is>
      </c>
      <c r="D140" s="81" t="n"/>
    </row>
    <row r="141" ht="23.85" customHeight="1" s="62">
      <c r="A141" s="81" t="inlineStr">
        <is>
          <t>lake-vostok-aq</t>
        </is>
      </c>
      <c r="B141" s="81" t="inlineStr">
        <is>
          <t>Open issue</t>
        </is>
      </c>
      <c r="C141" s="113" t="inlineStr">
        <is>
          <t>Ice thickness above the lake varies by source: &gt;3,700 m (Shtarkman 2013), ~4 km (Bulat 2016; Karl 1999), lake surface ~4,000 m below ice surface (Wikipedia). Not stored as a separate field.</t>
        </is>
      </c>
      <c r="D141" s="81" t="n"/>
    </row>
    <row r="142" ht="15" customHeight="1" s="62">
      <c r="A142" s="81" t="inlineStr">
        <is>
          <t>lake-vostok-aq</t>
        </is>
      </c>
      <c r="B142" s="81" t="inlineStr">
        <is>
          <t>Open issue</t>
        </is>
      </c>
      <c r="C142" s="113" t="inlineStr">
        <is>
          <t>Maximum lake depth uncertain: Wikipedia gives 510–900 m (mean 432 m). Volume ~5,400 ± 1,600 km3.</t>
        </is>
      </c>
      <c r="D142" s="81" t="n"/>
    </row>
    <row r="143" ht="15" customHeight="1" s="62">
      <c r="A143" s="81" t="inlineStr">
        <is>
          <t>lake-vostok-aq</t>
        </is>
      </c>
      <c r="B143" s="81" t="inlineStr">
        <is>
          <t>Open issue</t>
        </is>
      </c>
      <c r="C143" s="113" t="inlineStr">
        <is>
          <t>altitude_min_m left null: Wikipedia puts the lake surface ~500 m below sea level, but the lake floor elevation was not sourced.</t>
        </is>
      </c>
      <c r="D143" s="81" t="n"/>
    </row>
    <row r="144" ht="23.85" customHeight="1" s="62">
      <c r="A144" s="81" t="inlineStr">
        <is>
          <t>lake-vostok-aq</t>
        </is>
      </c>
      <c r="B144" s="81" t="inlineStr">
        <is>
          <t>Open issue</t>
        </is>
      </c>
      <c r="C144" s="113" t="inlineStr">
        <is>
          <t>temp_min_c/temp_max_c both −3 °C is a single calculated lake-water value, not a measured range. Station air temperatures are given in safety_notes.</t>
        </is>
      </c>
      <c r="D144" s="81" t="n"/>
    </row>
    <row r="145" ht="23.85" customHeight="1" s="62">
      <c r="A145" s="81" t="inlineStr">
        <is>
          <t>lake-vostok-aq</t>
        </is>
      </c>
      <c r="B145" s="81" t="inlineStr">
        <is>
          <t>Open issue</t>
        </is>
      </c>
      <c r="C145" s="113" t="inlineStr">
        <is>
          <t>biology_present set to 'Unknown': microbes are reported in accretion ice and borehole-frozen water, but life in the lake water itself is unconfirmed and some reported DNA may be contamination.</t>
        </is>
      </c>
      <c r="D145" s="81" t="n"/>
    </row>
    <row r="146" ht="23.85" customHeight="1" s="62">
      <c r="A146" s="81" t="inlineStr">
        <is>
          <t>lake-vostok-aq</t>
        </is>
      </c>
      <c r="B146" s="81" t="inlineStr">
        <is>
          <t>Open issue</t>
        </is>
      </c>
      <c r="C146" s="113" t="inlineStr">
        <is>
          <t>No official Russian (AARI / Russian Antarctic Expedition) access page was opened; the access details come from Wikipedia and the UK permit page.</t>
        </is>
      </c>
      <c r="D146" s="81" t="n"/>
    </row>
    <row r="147" ht="23.85" customHeight="1" s="62">
      <c r="A147" s="81" t="inlineStr">
        <is>
          <t>lake-vostok-aq</t>
        </is>
      </c>
      <c r="B147" s="81" t="inlineStr">
        <is>
          <t>Open issue</t>
        </is>
      </c>
      <c r="C147" s="113" t="inlineStr">
        <is>
          <t>Coordinates are the lake's nominal centre; the lake is 250 km long, so the pin is regional. Vostok Station lies about 1° of latitude further south (78.465°S, 106.837°E).</t>
        </is>
      </c>
      <c r="D147" s="81" t="n"/>
    </row>
    <row r="148" ht="15" customHeight="1" s="62">
      <c r="A148" s="81" t="inlineStr">
        <is>
          <t>lake-vostok-aq</t>
        </is>
      </c>
      <c r="B148" s="81" t="inlineStr">
        <is>
          <t>Judgement-based fields</t>
        </is>
      </c>
      <c r="C148" s="113" t="inlineStr">
        <is>
          <t>coordinate_precision, sensitive_site, access_level, hazard_rating</t>
        </is>
      </c>
      <c r="D148" s="81" t="n"/>
    </row>
    <row r="149" ht="35.05" customHeight="1" s="62">
      <c r="A149" s="81" t="inlineStr">
        <is>
          <t>lava-beds-us</t>
        </is>
      </c>
      <c r="B149" s="81" t="inlineStr">
        <is>
          <t>Rating rationale: hazard_rating</t>
        </is>
      </c>
      <c r="C149" s="113" t="inlineStr">
        <is>
          <t>3: lava-tube caving brings real hazards (low ceilings, deep drop-offs from collapsed tubes, uneven footing, disorientation in the harder caves, cold), and NPS advises helmets, multiple lights and not going alone. That fits 'group, plan and suitable kit' without specialist training.</t>
        </is>
      </c>
      <c r="D149" s="81" t="n"/>
    </row>
    <row r="150" ht="15" customHeight="1" s="62">
      <c r="A150" s="81" t="inlineStr">
        <is>
          <t>lava-beds-us</t>
        </is>
      </c>
      <c r="B150" s="81" t="inlineStr">
        <is>
          <t>Rating rationale: access_level</t>
        </is>
      </c>
      <c r="C150" s="113" t="inlineStr">
        <is>
          <t>2: paved road access to the Visitor Center and cave loop; the caving permit is free and issued on the spot at the Visitor Center.</t>
        </is>
      </c>
      <c r="D150" s="81" t="n"/>
    </row>
    <row r="151" ht="23.85" customHeight="1" s="62">
      <c r="A151" s="81" t="inlineStr">
        <is>
          <t>lava-beds-us</t>
        </is>
      </c>
      <c r="B151" s="81" t="inlineStr">
        <is>
          <t>Rating rationale: sensitive_site</t>
        </is>
      </c>
      <c r="C151" s="113" t="inlineStr">
        <is>
          <t>No: NPS publicly lists all 24 developed caves by name and difficulty, and protects bat roosts and cave ice through its own closures (e.g. Balcony, Blue Grotto, Thunderbolt) and the white-nose syndrome permit.</t>
        </is>
      </c>
      <c r="D151" s="81" t="n"/>
    </row>
    <row r="152" ht="15" customHeight="1" s="62">
      <c r="A152" s="81" t="inlineStr">
        <is>
          <t>lava-beds-us</t>
        </is>
      </c>
      <c r="B152" s="81" t="inlineStr">
        <is>
          <t>Open issue</t>
        </is>
      </c>
      <c r="C152" s="113" t="inlineStr">
        <is>
          <t>best_season is a judgement from NPS weather and road-closure data; NPS does not state a recommended season.</t>
        </is>
      </c>
      <c r="D152" s="81" t="n"/>
    </row>
    <row r="153" ht="23.85" customHeight="1" s="62">
      <c r="A153" s="81" t="inlineStr">
        <is>
          <t>lava-beds-us</t>
        </is>
      </c>
      <c r="B153" s="81" t="inlineStr">
        <is>
          <t>Open issue</t>
        </is>
      </c>
      <c r="C153" s="113" t="inlineStr">
        <is>
          <t>Reference keys here (nps_*) are new; merge with the entry's existing references (Bell et al. 2022; NPS caving page) and de-duplicate the caving page.</t>
        </is>
      </c>
      <c r="D153" s="81" t="n"/>
    </row>
    <row r="154" ht="15" customHeight="1" s="62">
      <c r="A154" s="81" t="inlineStr">
        <is>
          <t>lava-beds-us</t>
        </is>
      </c>
      <c r="B154" s="81" t="inlineStr">
        <is>
          <t>Open issue</t>
        </is>
      </c>
      <c r="C154" s="113" t="inlineStr">
        <is>
          <t>Hazard rating 3 assumes visitors try moderate or most-challenging caves; Mushpot alone (paved and lit) would be 1–2.</t>
        </is>
      </c>
      <c r="D154" s="81" t="n"/>
    </row>
    <row r="155" ht="15" customHeight="1" s="62">
      <c r="A155" s="81" t="inlineStr">
        <is>
          <t>lava-beds-us</t>
        </is>
      </c>
      <c r="B155" s="81" t="inlineStr">
        <is>
          <t>Judgement-based fields</t>
        </is>
      </c>
      <c r="C155" s="113" t="inlineStr">
        <is>
          <t>best_season, sensitive_site, hazard_rating, access_level</t>
        </is>
      </c>
      <c r="D155" s="81" t="n"/>
    </row>
  </sheetData>
  <autoFilter ref="A3:D15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61" min="1" max="1"/>
    <col width="60" customWidth="1" style="61" min="2" max="2"/>
    <col width="55" customWidth="1" style="61" min="3" max="3"/>
  </cols>
  <sheetData>
    <row r="1" ht="17.25" customHeight="1" s="62">
      <c r="A1" s="121" t="inlineStr">
        <is>
          <t>Rating scales</t>
        </is>
      </c>
    </row>
    <row r="2" ht="15" customHeight="1" s="62">
      <c r="A2" s="73" t="inlineStr">
        <is>
          <t>Rate the highest hazard a normal visitor meets, not the worst case anywhere. Ratings are guidance, not a risk assessment. Re-check every 3 years.</t>
        </is>
      </c>
    </row>
    <row r="4" ht="15" customHeight="1" s="62">
      <c r="A4" s="74" t="inlineStr">
        <is>
          <t>Level</t>
        </is>
      </c>
      <c r="B4" s="74" t="inlineStr">
        <is>
          <t>Hazard rating</t>
        </is>
      </c>
      <c r="C4" s="74" t="inlineStr">
        <is>
          <t>Access level</t>
        </is>
      </c>
    </row>
    <row r="5" ht="30" customHeight="1" s="62">
      <c r="A5" s="122" t="n">
        <v>1</v>
      </c>
      <c r="B5" s="78" t="inlineStr">
        <is>
          <t>Minimal: like a normal day out; standard fieldwork kit</t>
        </is>
      </c>
      <c r="C5" s="78" t="inlineStr">
        <is>
          <t>Open: roadside or public path, no permit</t>
        </is>
      </c>
    </row>
    <row r="6" ht="30" customHeight="1" s="62">
      <c r="A6" s="122" t="n">
        <v>2</v>
      </c>
      <c r="B6" s="78" t="inlineStr">
        <is>
          <t>Low: some exposure (heat, uneven ground); basic precautions</t>
        </is>
      </c>
      <c r="C6" s="78" t="inlineStr">
        <is>
          <t>Easy: road access; permit simple or not needed</t>
        </is>
      </c>
    </row>
    <row r="7" ht="30" customHeight="1" s="62">
      <c r="A7" s="122" t="n">
        <v>3</v>
      </c>
      <c r="B7" s="78" t="inlineStr">
        <is>
          <t>Moderate: real hazards; needs a group, a plan and suitable kit</t>
        </is>
      </c>
      <c r="C7" s="78" t="inlineStr">
        <is>
          <t>Planned: 4x4, hike or boat, or a permit that takes weeks</t>
        </is>
      </c>
    </row>
    <row r="8" ht="30" customHeight="1" s="62">
      <c r="A8" s="122" t="n">
        <v>4</v>
      </c>
      <c r="B8" s="78" t="inlineStr">
        <is>
          <t>High: serious hazards (toxic gas, altitude, extreme cold); experienced leaders or a guide</t>
        </is>
      </c>
      <c r="C8" s="78" t="inlineStr">
        <is>
          <t>Expedition: remote, multi-day, local guide or authority escort</t>
        </is>
      </c>
    </row>
    <row r="9" ht="30" customHeight="1" s="62">
      <c r="A9" s="122" t="n">
        <v>5</v>
      </c>
      <c r="B9" s="78" t="inlineStr">
        <is>
          <t>Extreme: life-threatening without specialist training and equipment</t>
        </is>
      </c>
      <c r="C9" s="78" t="inlineStr">
        <is>
          <t>Restricted: research station, military, or invitation only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L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61" min="1" max="1"/>
    <col width="49" customWidth="1" style="61" min="2" max="2"/>
    <col width="27" customWidth="1" style="61" min="3" max="3"/>
    <col width="28" customWidth="1" style="61" min="4" max="4"/>
    <col width="30" customWidth="1" style="61" min="5" max="5"/>
    <col width="32" customWidth="1" style="61" min="6" max="6"/>
    <col width="22" customWidth="1" style="61" min="7" max="7"/>
    <col width="16" customWidth="1" style="61" min="8" max="12"/>
  </cols>
  <sheetData>
    <row r="1" ht="15" customHeight="1" s="62">
      <c r="A1" s="123" t="inlineStr">
        <is>
          <t>analogue_for</t>
        </is>
      </c>
      <c r="B1" s="123" t="inlineStr">
        <is>
          <t>analogue_type</t>
        </is>
      </c>
      <c r="C1" s="123" t="inlineStr">
        <is>
          <t>environment_type</t>
        </is>
      </c>
      <c r="D1" s="123" t="inlineStr">
        <is>
          <t>geological_setting</t>
        </is>
      </c>
      <c r="E1" s="123" t="inlineStr">
        <is>
          <t>hazards</t>
        </is>
      </c>
      <c r="F1" s="123" t="inlineStr">
        <is>
          <t>land_status</t>
        </is>
      </c>
      <c r="G1" s="123" t="inlineStr">
        <is>
          <t>coordinate_precision</t>
        </is>
      </c>
      <c r="H1" s="123" t="inlineStr">
        <is>
          <t>review_status</t>
        </is>
      </c>
      <c r="I1" s="123" t="inlineStr">
        <is>
          <t>yes_no</t>
        </is>
      </c>
      <c r="J1" s="123" t="inlineStr">
        <is>
          <t>yes_no_varies</t>
        </is>
      </c>
      <c r="K1" s="123" t="inlineStr">
        <is>
          <t>yes_no_unknown</t>
        </is>
      </c>
      <c r="L1" s="123" t="inlineStr">
        <is>
          <t>level_1_5</t>
        </is>
      </c>
    </row>
    <row r="2" ht="15" customHeight="1" s="62">
      <c r="A2" s="66" t="inlineStr">
        <is>
          <t>Mars</t>
        </is>
      </c>
      <c r="B2" s="66" t="inlineStr">
        <is>
          <t>Geological / geomorphological</t>
        </is>
      </c>
      <c r="C2" s="66" t="inlineStr">
        <is>
          <t>Hyperarid</t>
        </is>
      </c>
      <c r="D2" s="66" t="inlineStr">
        <is>
          <t>Volcanic</t>
        </is>
      </c>
      <c r="E2" s="66" t="inlineStr">
        <is>
          <t>Extreme heat</t>
        </is>
      </c>
      <c r="F2" s="66" t="inlineStr">
        <is>
          <t>Public</t>
        </is>
      </c>
      <c r="G2" s="66" t="inlineStr">
        <is>
          <t>Exact</t>
        </is>
      </c>
      <c r="H2" s="66" t="inlineStr">
        <is>
          <t>Draft</t>
        </is>
      </c>
      <c r="I2" s="66" t="inlineStr">
        <is>
          <t>Yes</t>
        </is>
      </c>
      <c r="J2" s="66" t="inlineStr">
        <is>
          <t>Yes</t>
        </is>
      </c>
      <c r="K2" s="66" t="inlineStr">
        <is>
          <t>Yes</t>
        </is>
      </c>
      <c r="L2" s="66" t="n">
        <v>1</v>
      </c>
    </row>
    <row r="3" ht="15" customHeight="1" s="62">
      <c r="A3" s="66" t="inlineStr">
        <is>
          <t>Moon</t>
        </is>
      </c>
      <c r="B3" s="66" t="inlineStr">
        <is>
          <t>Mineralogical</t>
        </is>
      </c>
      <c r="C3" s="66" t="inlineStr">
        <is>
          <t>Polar desert</t>
        </is>
      </c>
      <c r="D3" s="66" t="inlineStr">
        <is>
          <t>Impact</t>
        </is>
      </c>
      <c r="E3" s="66" t="inlineStr">
        <is>
          <t>Extreme cold</t>
        </is>
      </c>
      <c r="F3" s="66" t="inlineStr">
        <is>
          <t>Protected area / national park</t>
        </is>
      </c>
      <c r="G3" s="66" t="inlineStr">
        <is>
          <t>Approximately 1 km</t>
        </is>
      </c>
      <c r="H3" s="66" t="inlineStr">
        <is>
          <t>In review</t>
        </is>
      </c>
      <c r="I3" s="66" t="inlineStr">
        <is>
          <t>No</t>
        </is>
      </c>
      <c r="J3" s="66" t="inlineStr">
        <is>
          <t>No</t>
        </is>
      </c>
      <c r="K3" s="66" t="inlineStr">
        <is>
          <t>No</t>
        </is>
      </c>
      <c r="L3" s="66" t="n">
        <v>2</v>
      </c>
    </row>
    <row r="4" ht="15" customHeight="1" s="62">
      <c r="A4" s="66" t="inlineStr">
        <is>
          <t>Venus</t>
        </is>
      </c>
      <c r="B4" s="66" t="inlineStr">
        <is>
          <t>Geochemical</t>
        </is>
      </c>
      <c r="C4" s="66" t="inlineStr">
        <is>
          <t>Permafrost</t>
        </is>
      </c>
      <c r="D4" s="66" t="inlineStr">
        <is>
          <t>Sedimentary basin</t>
        </is>
      </c>
      <c r="E4" s="66" t="inlineStr">
        <is>
          <t>Altitude</t>
        </is>
      </c>
      <c r="F4" s="66" t="inlineStr">
        <is>
          <t>UNESCO site</t>
        </is>
      </c>
      <c r="G4" s="66" t="inlineStr">
        <is>
          <t>Approximately 10 km</t>
        </is>
      </c>
      <c r="H4" s="66" t="inlineStr">
        <is>
          <t>Verified</t>
        </is>
      </c>
      <c r="J4" s="66" t="inlineStr">
        <is>
          <t>Varies</t>
        </is>
      </c>
      <c r="K4" s="66" t="inlineStr">
        <is>
          <t>Unknown</t>
        </is>
      </c>
      <c r="L4" s="66" t="n">
        <v>3</v>
      </c>
    </row>
    <row r="5" ht="15" customHeight="1" s="62">
      <c r="A5" s="66" t="inlineStr">
        <is>
          <t>Mercury</t>
        </is>
      </c>
      <c r="B5" s="66" t="inlineStr">
        <is>
          <t>Habitability / biological</t>
        </is>
      </c>
      <c r="C5" s="66" t="inlineStr">
        <is>
          <t>Glacial / subglacial</t>
        </is>
      </c>
      <c r="D5" s="66" t="inlineStr">
        <is>
          <t>Evaporite basin</t>
        </is>
      </c>
      <c r="E5" s="66" t="inlineStr">
        <is>
          <t>Toxic gas</t>
        </is>
      </c>
      <c r="F5" s="66" t="inlineStr">
        <is>
          <t>Private</t>
        </is>
      </c>
      <c r="G5" s="66" t="inlineStr">
        <is>
          <t>Region only</t>
        </is>
      </c>
      <c r="H5" s="66" t="inlineStr">
        <is>
          <t>Needs update</t>
        </is>
      </c>
      <c r="L5" s="66" t="n">
        <v>4</v>
      </c>
    </row>
    <row r="6" ht="15" customHeight="1" s="62">
      <c r="A6" s="66" t="inlineStr">
        <is>
          <t>Europa</t>
        </is>
      </c>
      <c r="B6" s="66" t="inlineStr">
        <is>
          <t>Impact</t>
        </is>
      </c>
      <c r="C6" s="66" t="inlineStr">
        <is>
          <t>Hot spring / hydrothermal</t>
        </is>
      </c>
      <c r="D6" s="66" t="inlineStr">
        <is>
          <t>Hydrothermal / ore deposit</t>
        </is>
      </c>
      <c r="E6" s="66" t="inlineStr">
        <is>
          <t>Acidic or caustic water</t>
        </is>
      </c>
      <c r="F6" s="66" t="inlineStr">
        <is>
          <t>Indigenous or community land</t>
        </is>
      </c>
      <c r="L6" s="66" t="n">
        <v>5</v>
      </c>
    </row>
    <row r="7" ht="15" customHeight="1" s="62">
      <c r="A7" s="66" t="inlineStr">
        <is>
          <t>Enceladus</t>
        </is>
      </c>
      <c r="B7" s="66" t="inlineStr">
        <is>
          <t>Volcanic</t>
        </is>
      </c>
      <c r="C7" s="66" t="inlineStr">
        <is>
          <t>Deep-sea vent</t>
        </is>
      </c>
      <c r="D7" s="66" t="inlineStr">
        <is>
          <t>Glacial</t>
        </is>
      </c>
      <c r="E7" s="66" t="inlineStr">
        <is>
          <t>Unstable ground</t>
        </is>
      </c>
      <c r="F7" s="66" t="inlineStr">
        <is>
          <t>Military</t>
        </is>
      </c>
    </row>
    <row r="8" ht="15" customHeight="1" s="62">
      <c r="A8" s="66" t="inlineStr">
        <is>
          <t>Titan</t>
        </is>
      </c>
      <c r="B8" s="66" t="inlineStr">
        <is>
          <t>Cryospheric</t>
        </is>
      </c>
      <c r="C8" s="66" t="inlineStr">
        <is>
          <t>Acidic</t>
        </is>
      </c>
      <c r="D8" s="66" t="inlineStr">
        <is>
          <t>Aeolian</t>
        </is>
      </c>
      <c r="E8" s="66" t="inlineStr">
        <is>
          <t>Rockfall</t>
        </is>
      </c>
      <c r="F8" s="66" t="inlineStr">
        <is>
          <t>Research station</t>
        </is>
      </c>
    </row>
    <row r="9" ht="15" customHeight="1" s="62">
      <c r="A9" s="66" t="inlineStr">
        <is>
          <t>Ganymede</t>
        </is>
      </c>
      <c r="B9" s="66" t="inlineStr">
        <is>
          <t>Aeolian</t>
        </is>
      </c>
      <c r="C9" s="66" t="inlineStr">
        <is>
          <t>Alkaline</t>
        </is>
      </c>
      <c r="D9" s="66" t="inlineStr">
        <is>
          <t>Ancient craton</t>
        </is>
      </c>
      <c r="E9" s="66" t="inlineStr">
        <is>
          <t>Volcanic activity</t>
        </is>
      </c>
      <c r="F9" s="66" t="inlineStr">
        <is>
          <t>Unknown</t>
        </is>
      </c>
    </row>
    <row r="10" ht="15" customHeight="1" s="62">
      <c r="A10" s="66" t="inlineStr">
        <is>
          <t>Callisto</t>
        </is>
      </c>
      <c r="B10" s="66" t="inlineStr">
        <is>
          <t>Hydrological</t>
        </is>
      </c>
      <c r="C10" s="66" t="inlineStr">
        <is>
          <t>Hypersaline</t>
        </is>
      </c>
      <c r="E10" s="66" t="inlineStr">
        <is>
          <t>Flash flood</t>
        </is>
      </c>
    </row>
    <row r="11" ht="15" customHeight="1" s="62">
      <c r="A11" s="66" t="inlineStr">
        <is>
          <t>Io</t>
        </is>
      </c>
      <c r="B11" s="66" t="inlineStr">
        <is>
          <t>Operational (instrument, rover or crew testing)</t>
        </is>
      </c>
      <c r="C11" s="66" t="inlineStr">
        <is>
          <t>Evaporite</t>
        </is>
      </c>
      <c r="E11" s="66" t="inlineStr">
        <is>
          <t>Remoteness / no phone signal</t>
        </is>
      </c>
    </row>
    <row r="12" ht="15" customHeight="1" s="62">
      <c r="A12" s="66" t="inlineStr">
        <is>
          <t>Ceres</t>
        </is>
      </c>
      <c r="C12" s="66" t="inlineStr">
        <is>
          <t>Iron-rich</t>
        </is>
      </c>
      <c r="E12" s="66" t="inlineStr">
        <is>
          <t>Dangerous wildlife</t>
        </is>
      </c>
    </row>
    <row r="13" ht="15" customHeight="1" s="62">
      <c r="A13" s="66" t="inlineStr">
        <is>
          <t>Vesta</t>
        </is>
      </c>
      <c r="C13" s="66" t="inlineStr">
        <is>
          <t>Sulphur-rich</t>
        </is>
      </c>
      <c r="E13" s="66" t="inlineStr">
        <is>
          <t>Old mine workings</t>
        </is>
      </c>
    </row>
    <row r="14" ht="15" customHeight="1" s="62">
      <c r="A14" s="66" t="inlineStr">
        <is>
          <t>Comets</t>
        </is>
      </c>
      <c r="C14" s="66" t="inlineStr">
        <is>
          <t>Lava field / lava tube</t>
        </is>
      </c>
      <c r="E14" s="66" t="inlineStr">
        <is>
          <t>Political instability</t>
        </is>
      </c>
    </row>
    <row r="15" ht="15" customHeight="1" s="62">
      <c r="A15" s="66" t="inlineStr">
        <is>
          <t>Asteroids (general)</t>
        </is>
      </c>
      <c r="C15" s="66" t="inlineStr">
        <is>
          <t>Impact structure</t>
        </is>
      </c>
      <c r="E15" s="66" t="inlineStr">
        <is>
          <t>Sea or tides</t>
        </is>
      </c>
    </row>
    <row r="16" ht="15" customHeight="1" s="62">
      <c r="A16" s="66" t="inlineStr">
        <is>
          <t>Icy moons (general)</t>
        </is>
      </c>
      <c r="C16" s="66" t="inlineStr">
        <is>
          <t>High altitude / high UV</t>
        </is>
      </c>
    </row>
    <row r="17" ht="15" customHeight="1" s="62">
      <c r="A17" s="66" t="inlineStr">
        <is>
          <t>Exoplanets (general)</t>
        </is>
      </c>
      <c r="C17" s="66" t="inlineStr">
        <is>
          <t>Cave</t>
        </is>
      </c>
    </row>
    <row r="18" ht="15" customHeight="1" s="62">
      <c r="A18" s="66" t="inlineStr">
        <is>
          <t>Early Earth</t>
        </is>
      </c>
    </row>
    <row r="20" ht="15" customHeight="1" s="62">
      <c r="A20" s="73" t="inlineStr">
        <is>
          <t>Maintainers only: add new values at the bottom of a list, then extend that list's dropdown range on the Sites sheet. Values in "_other" columns and the hazards column are separated by semicolons and must match these lists.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2026-10-11T10:28:14Z</dcterms:created>
  <dcterms:modified xmlns:dcterms="http://purl.org/dc/terms/" xmlns:xsi="http://www.w3.org/2001/XMLSchema-instance" xsi:type="dcterms:W3CDTF">2026-10-11T18:31:48Z</dcterms:modified>
  <cp:revision>0</cp:revision>
</cp:coreProperties>
</file>